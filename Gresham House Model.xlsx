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d9a60b3f725719/Desktop/Career/Company Research ^0 Applications/Gresham House/Case Study/"/>
    </mc:Choice>
  </mc:AlternateContent>
  <xr:revisionPtr revIDLastSave="5277" documentId="120_S{9188F77D-7AE3-56BC-A15B-EA10CB92F7D9}" xr6:coauthVersionLast="47" xr6:coauthVersionMax="47" xr10:uidLastSave="{2633BD98-D8BD-47F1-BE1E-E46011371F41}"/>
  <bookViews>
    <workbookView xWindow="-108" yWindow="-108" windowWidth="23256" windowHeight="12456" tabRatio="815" activeTab="3" xr2:uid="{00000000-000D-0000-FFFF-FFFF00000000}"/>
  </bookViews>
  <sheets>
    <sheet name="Assumptions" sheetId="2" r:id="rId1"/>
    <sheet name="Metrics &amp; Drivers" sheetId="3" state="hidden" r:id="rId2"/>
    <sheet name="Additional Schedules" sheetId="4" state="hidden" r:id="rId3"/>
    <sheet name="Three Statement Model" sheetId="9" r:id="rId4"/>
    <sheet name="Sheet2" sheetId="15" r:id="rId5"/>
    <sheet name="DCF" sheetId="6" r:id="rId6"/>
    <sheet name="WACC" sheetId="7" r:id="rId7"/>
    <sheet name="Presentation Formatting" sheetId="14" r:id="rId8"/>
  </sheets>
  <externalReferences>
    <externalReference r:id="rId9"/>
  </externalReferences>
  <definedNames>
    <definedName name="___thinkcellYCLAAAAAAAAABTYAAAANF3ZJQGPCS3WFPBP7FUZK56AL4" localSheetId="5" hidden="1">DCF!$B$41:$J$50</definedName>
    <definedName name="CIQWBGuid" localSheetId="0">"e778162b-a8f3-4f2e-935f-34d73fb7e972"</definedName>
    <definedName name="CIQWBGuid" localSheetId="3" hidden="1">"2cd8126d-26c3-430c-b7fa-a069e3a1fc62"</definedName>
    <definedName name="CIQWBGuid">"eeeac8b3-2cb4-40c8-a5e7-67bd1e29d27d"</definedName>
    <definedName name="CIQWBInfo">"{ ""CIQVersion"":""9.51.3510.3078"" }"</definedName>
    <definedName name="CurrentPrice">#REF!</definedName>
    <definedName name="Gross_Profit">'[1]Advanced Financial Analysis'!$9:$9</definedName>
    <definedName name="IFF_Price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 localSheetId="3" hidden="1">41666.7099189815</definedName>
    <definedName name="IQ_NAMES_REVISION_DATE_">45318.8008796296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Sensitivity">'[1]Advanced Financial Analysis'!$D$49</definedName>
    <definedName name="SG_A">'[1]Advanced Financial Analysis'!$11:$11</definedName>
    <definedName name="TargetCurrentPrice">#REF!</definedName>
    <definedName name="TargetDilutedShares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VduHK6Em7go22kaUDoWvRLqykwWPwGUvgO1Zh13JY+g="/>
    </ext>
  </extLst>
</workbook>
</file>

<file path=xl/calcChain.xml><?xml version="1.0" encoding="utf-8"?>
<calcChain xmlns="http://schemas.openxmlformats.org/spreadsheetml/2006/main">
  <c r="I21" i="7" l="1"/>
  <c r="J17" i="7"/>
  <c r="J16" i="7"/>
  <c r="J11" i="7"/>
  <c r="E9" i="7"/>
  <c r="G27" i="6"/>
  <c r="G26" i="6"/>
  <c r="G20" i="6"/>
  <c r="G16" i="6"/>
  <c r="G15" i="6"/>
  <c r="G14" i="6"/>
  <c r="G10" i="6"/>
  <c r="G7" i="6"/>
  <c r="G25" i="6"/>
  <c r="I133" i="9"/>
  <c r="J133" i="9"/>
  <c r="K133" i="9"/>
  <c r="H133" i="9"/>
  <c r="G71" i="2"/>
  <c r="H71" i="2"/>
  <c r="I71" i="2"/>
  <c r="J71" i="2"/>
  <c r="F71" i="2"/>
  <c r="M71" i="2"/>
  <c r="M70" i="2" s="1"/>
  <c r="K118" i="9" s="1"/>
  <c r="L71" i="2"/>
  <c r="L70" i="2" s="1"/>
  <c r="J118" i="9" s="1"/>
  <c r="K71" i="2"/>
  <c r="K70" i="2" s="1"/>
  <c r="I118" i="9" s="1"/>
  <c r="F76" i="2"/>
  <c r="G76" i="2"/>
  <c r="H76" i="2"/>
  <c r="I76" i="2"/>
  <c r="K76" i="2"/>
  <c r="L76" i="2"/>
  <c r="M76" i="2"/>
  <c r="I111" i="9"/>
  <c r="K46" i="2"/>
  <c r="K45" i="2" s="1"/>
  <c r="J108" i="9"/>
  <c r="K108" i="9"/>
  <c r="H97" i="9"/>
  <c r="H25" i="9"/>
  <c r="E137" i="9"/>
  <c r="F137" i="9"/>
  <c r="G137" i="9"/>
  <c r="I108" i="9"/>
  <c r="J110" i="9"/>
  <c r="K110" i="9"/>
  <c r="J111" i="9"/>
  <c r="K111" i="9"/>
  <c r="I110" i="9"/>
  <c r="I113" i="9"/>
  <c r="J113" i="9"/>
  <c r="K113" i="9"/>
  <c r="F87" i="2"/>
  <c r="G138" i="9"/>
  <c r="E76" i="9"/>
  <c r="F76" i="9"/>
  <c r="G76" i="9"/>
  <c r="H76" i="9"/>
  <c r="D76" i="9"/>
  <c r="I73" i="9"/>
  <c r="J73" i="9"/>
  <c r="K73" i="9"/>
  <c r="H73" i="9"/>
  <c r="J71" i="9"/>
  <c r="K71" i="9" s="1"/>
  <c r="I71" i="9"/>
  <c r="E25" i="9"/>
  <c r="F25" i="9"/>
  <c r="G25" i="9"/>
  <c r="E23" i="9"/>
  <c r="F23" i="9"/>
  <c r="H23" i="9"/>
  <c r="E17" i="9"/>
  <c r="F17" i="9"/>
  <c r="G17" i="9"/>
  <c r="H17" i="9"/>
  <c r="D17" i="9"/>
  <c r="D16" i="9"/>
  <c r="E16" i="9"/>
  <c r="F16" i="9"/>
  <c r="G16" i="9"/>
  <c r="H16" i="9"/>
  <c r="E15" i="9"/>
  <c r="F15" i="9"/>
  <c r="G15" i="9"/>
  <c r="H15" i="9"/>
  <c r="D15" i="9"/>
  <c r="E14" i="9"/>
  <c r="H12" i="9"/>
  <c r="H14" i="9"/>
  <c r="E12" i="9"/>
  <c r="G93" i="2"/>
  <c r="H93" i="2"/>
  <c r="I93" i="2"/>
  <c r="I94" i="2" s="1"/>
  <c r="J93" i="2"/>
  <c r="J94" i="2" s="1"/>
  <c r="F93" i="2"/>
  <c r="F81" i="2"/>
  <c r="G64" i="2"/>
  <c r="H64" i="2"/>
  <c r="I64" i="2"/>
  <c r="J64" i="2"/>
  <c r="F64" i="2"/>
  <c r="G58" i="2"/>
  <c r="H58" i="2"/>
  <c r="I58" i="2"/>
  <c r="J58" i="2"/>
  <c r="F58" i="2"/>
  <c r="G52" i="2"/>
  <c r="H52" i="2"/>
  <c r="I52" i="2"/>
  <c r="J52" i="2"/>
  <c r="F52" i="2"/>
  <c r="G45" i="2"/>
  <c r="H45" i="2"/>
  <c r="I45" i="2"/>
  <c r="J45" i="2"/>
  <c r="F45" i="2"/>
  <c r="G39" i="2"/>
  <c r="H39" i="2"/>
  <c r="I39" i="2"/>
  <c r="J39" i="2"/>
  <c r="F39" i="2"/>
  <c r="K34" i="2"/>
  <c r="G33" i="2"/>
  <c r="H33" i="2"/>
  <c r="I33" i="2"/>
  <c r="J33" i="2"/>
  <c r="F33" i="2"/>
  <c r="G27" i="2"/>
  <c r="H27" i="2"/>
  <c r="I27" i="2"/>
  <c r="J27" i="2"/>
  <c r="F27" i="2"/>
  <c r="J15" i="2"/>
  <c r="G20" i="2"/>
  <c r="H20" i="2"/>
  <c r="I20" i="2"/>
  <c r="J20" i="2"/>
  <c r="F20" i="2"/>
  <c r="G14" i="2"/>
  <c r="G82" i="2" s="1"/>
  <c r="H14" i="2"/>
  <c r="H82" i="2" s="1"/>
  <c r="I14" i="2"/>
  <c r="G88" i="2" s="1"/>
  <c r="J14" i="2"/>
  <c r="H88" i="2" s="1"/>
  <c r="F14" i="2"/>
  <c r="K15" i="2"/>
  <c r="K14" i="2" s="1"/>
  <c r="L11" i="2"/>
  <c r="M11" i="2"/>
  <c r="I10" i="2"/>
  <c r="J10" i="2"/>
  <c r="K11" i="2" s="1"/>
  <c r="I12" i="9" s="1"/>
  <c r="E138" i="9"/>
  <c r="F138" i="9"/>
  <c r="H136" i="9"/>
  <c r="D138" i="9"/>
  <c r="D120" i="9"/>
  <c r="E120" i="9"/>
  <c r="F120" i="9"/>
  <c r="G120" i="9"/>
  <c r="H120" i="9"/>
  <c r="H129" i="9"/>
  <c r="J99" i="2" s="1"/>
  <c r="H125" i="9"/>
  <c r="F125" i="9"/>
  <c r="G129" i="9"/>
  <c r="I99" i="2" s="1"/>
  <c r="H21" i="9"/>
  <c r="D46" i="9"/>
  <c r="D14" i="9"/>
  <c r="G33" i="9"/>
  <c r="F12" i="9"/>
  <c r="G12" i="9"/>
  <c r="F14" i="9"/>
  <c r="G14" i="9"/>
  <c r="I13" i="9" l="1"/>
  <c r="I31" i="9"/>
  <c r="H7" i="6" s="1"/>
  <c r="H8" i="6"/>
  <c r="G11" i="6"/>
  <c r="G12" i="6" s="1"/>
  <c r="J46" i="2"/>
  <c r="H22" i="9" s="1"/>
  <c r="J59" i="2"/>
  <c r="H24" i="9" s="1"/>
  <c r="I21" i="2"/>
  <c r="I22" i="9"/>
  <c r="I65" i="2"/>
  <c r="G94" i="2"/>
  <c r="J100" i="2"/>
  <c r="J34" i="2"/>
  <c r="J53" i="2"/>
  <c r="I53" i="2"/>
  <c r="H94" i="2"/>
  <c r="I28" i="2"/>
  <c r="I46" i="2"/>
  <c r="G22" i="9" s="1"/>
  <c r="F82" i="2"/>
  <c r="I59" i="2"/>
  <c r="G24" i="9" s="1"/>
  <c r="J40" i="2"/>
  <c r="J28" i="2"/>
  <c r="J65" i="2"/>
  <c r="I100" i="2"/>
  <c r="I40" i="2"/>
  <c r="I34" i="2"/>
  <c r="J21" i="2"/>
  <c r="J11" i="2"/>
  <c r="F10" i="2"/>
  <c r="F65" i="2" s="1"/>
  <c r="G10" i="2"/>
  <c r="H10" i="2"/>
  <c r="I15" i="2"/>
  <c r="G46" i="9"/>
  <c r="E46" i="9"/>
  <c r="F46" i="9"/>
  <c r="I5" i="6"/>
  <c r="J5" i="6" s="1"/>
  <c r="F3" i="6"/>
  <c r="F84" i="9"/>
  <c r="F88" i="9" s="1"/>
  <c r="F95" i="9"/>
  <c r="E95" i="9"/>
  <c r="D95" i="9"/>
  <c r="G95" i="9"/>
  <c r="G22" i="7"/>
  <c r="G21" i="7"/>
  <c r="E125" i="9"/>
  <c r="G125" i="9"/>
  <c r="G133" i="9" s="1"/>
  <c r="E73" i="9"/>
  <c r="E21" i="9" s="1"/>
  <c r="F73" i="9"/>
  <c r="F21" i="9" s="1"/>
  <c r="G73" i="9"/>
  <c r="D73" i="9"/>
  <c r="E69" i="9"/>
  <c r="F69" i="9"/>
  <c r="G69" i="9"/>
  <c r="D69" i="9"/>
  <c r="I83" i="9" l="1"/>
  <c r="G17" i="6"/>
  <c r="G18" i="6" s="1"/>
  <c r="G21" i="9"/>
  <c r="H53" i="2"/>
  <c r="H65" i="2"/>
  <c r="F34" i="2"/>
  <c r="F59" i="2"/>
  <c r="D24" i="9" s="1"/>
  <c r="F46" i="2"/>
  <c r="D22" i="9" s="1"/>
  <c r="F53" i="2"/>
  <c r="F94" i="2"/>
  <c r="G46" i="2"/>
  <c r="E22" i="9" s="1"/>
  <c r="G59" i="2"/>
  <c r="E24" i="9" s="1"/>
  <c r="H46" i="2"/>
  <c r="F22" i="9" s="1"/>
  <c r="G65" i="2"/>
  <c r="H59" i="2"/>
  <c r="F24" i="9" s="1"/>
  <c r="G53" i="2"/>
  <c r="H21" i="2"/>
  <c r="H34" i="2"/>
  <c r="H40" i="2"/>
  <c r="H28" i="2"/>
  <c r="G21" i="2"/>
  <c r="G28" i="2"/>
  <c r="G34" i="2"/>
  <c r="G40" i="2"/>
  <c r="F28" i="2"/>
  <c r="F40" i="2"/>
  <c r="F15" i="2"/>
  <c r="F21" i="2"/>
  <c r="H11" i="2"/>
  <c r="G11" i="2"/>
  <c r="G84" i="9"/>
  <c r="G23" i="7"/>
  <c r="D84" i="9"/>
  <c r="D88" i="9" s="1"/>
  <c r="E84" i="9"/>
  <c r="E88" i="9" s="1"/>
  <c r="F97" i="9"/>
  <c r="G22" i="6" l="1"/>
  <c r="G21" i="6"/>
  <c r="G88" i="9"/>
  <c r="G97" i="9" s="1"/>
  <c r="G98" i="9" s="1"/>
  <c r="E97" i="9"/>
  <c r="E98" i="9" s="1"/>
  <c r="F98" i="9"/>
  <c r="D97" i="9"/>
  <c r="D98" i="9" s="1"/>
  <c r="I22" i="7"/>
  <c r="I23" i="7" s="1"/>
  <c r="G29" i="6" l="1"/>
  <c r="G30" i="6" s="1"/>
  <c r="G23" i="6"/>
  <c r="F129" i="9"/>
  <c r="E129" i="9"/>
  <c r="D129" i="9"/>
  <c r="F99" i="2" s="1"/>
  <c r="F100" i="2" s="1"/>
  <c r="D125" i="9"/>
  <c r="K102" i="9"/>
  <c r="J102" i="9"/>
  <c r="I102" i="9"/>
  <c r="H102" i="9"/>
  <c r="G102" i="9"/>
  <c r="F102" i="9"/>
  <c r="E102" i="9"/>
  <c r="D102" i="9"/>
  <c r="K59" i="9"/>
  <c r="J59" i="9"/>
  <c r="I59" i="9"/>
  <c r="H59" i="9"/>
  <c r="G59" i="9"/>
  <c r="F59" i="9"/>
  <c r="E59" i="9"/>
  <c r="D59" i="9"/>
  <c r="H55" i="9"/>
  <c r="I55" i="9" s="1"/>
  <c r="J55" i="9" s="1"/>
  <c r="K55" i="9" s="1"/>
  <c r="G39" i="9"/>
  <c r="G41" i="9" s="1"/>
  <c r="F39" i="9"/>
  <c r="E39" i="9"/>
  <c r="D39" i="9"/>
  <c r="G13" i="9"/>
  <c r="F33" i="9"/>
  <c r="E33" i="9"/>
  <c r="D33" i="9"/>
  <c r="K29" i="9"/>
  <c r="J29" i="9"/>
  <c r="I29" i="9"/>
  <c r="H29" i="9"/>
  <c r="G29" i="9"/>
  <c r="F29" i="9"/>
  <c r="E29" i="9"/>
  <c r="D29" i="9"/>
  <c r="D25" i="9"/>
  <c r="D23" i="9"/>
  <c r="D21" i="9"/>
  <c r="K9" i="9"/>
  <c r="G9" i="9"/>
  <c r="G23" i="9" l="1"/>
  <c r="E133" i="9"/>
  <c r="G99" i="2"/>
  <c r="G100" i="2" s="1"/>
  <c r="F133" i="9"/>
  <c r="H99" i="2"/>
  <c r="H100" i="2" s="1"/>
  <c r="D133" i="9"/>
  <c r="D13" i="9"/>
  <c r="D41" i="9"/>
  <c r="E13" i="9"/>
  <c r="E41" i="9"/>
  <c r="E47" i="9" s="1"/>
  <c r="E18" i="9" s="1"/>
  <c r="F13" i="9"/>
  <c r="F41" i="9"/>
  <c r="E50" i="9" l="1"/>
  <c r="E53" i="9" s="1"/>
  <c r="E105" i="9"/>
  <c r="E114" i="9" s="1"/>
  <c r="F47" i="9"/>
  <c r="G47" i="9"/>
  <c r="D47" i="9"/>
  <c r="D18" i="9" s="1"/>
  <c r="J129" i="9"/>
  <c r="I129" i="9"/>
  <c r="G18" i="9" l="1"/>
  <c r="F18" i="9"/>
  <c r="D50" i="9"/>
  <c r="D53" i="9" s="1"/>
  <c r="G50" i="9"/>
  <c r="G53" i="9" s="1"/>
  <c r="G105" i="9" s="1"/>
  <c r="G114" i="9" s="1"/>
  <c r="F50" i="9"/>
  <c r="F53" i="9" s="1"/>
  <c r="F105" i="9" s="1"/>
  <c r="F114" i="9" s="1"/>
  <c r="D105" i="9"/>
  <c r="D114" i="9" s="1"/>
  <c r="K129" i="9"/>
  <c r="J15" i="7" l="1"/>
  <c r="J18" i="7"/>
  <c r="G15" i="2"/>
  <c r="H15" i="2"/>
  <c r="O7" i="6"/>
  <c r="H5" i="4"/>
  <c r="I5" i="4"/>
  <c r="J5" i="4"/>
  <c r="K5" i="4"/>
  <c r="L5" i="4"/>
  <c r="M5" i="4"/>
  <c r="G5" i="4"/>
  <c r="G5" i="3"/>
  <c r="H5" i="3"/>
  <c r="I5" i="3"/>
  <c r="J5" i="3"/>
  <c r="K5" i="3"/>
  <c r="L5" i="3"/>
  <c r="M5" i="3"/>
  <c r="G3" i="3"/>
  <c r="F88" i="2"/>
  <c r="J22" i="7" l="1"/>
  <c r="J21" i="7"/>
  <c r="K40" i="2"/>
  <c r="K18" i="9"/>
  <c r="K100" i="2"/>
  <c r="K99" i="2" s="1"/>
  <c r="L21" i="2"/>
  <c r="J14" i="9" s="1"/>
  <c r="J18" i="9"/>
  <c r="M34" i="2"/>
  <c r="M100" i="2"/>
  <c r="L94" i="2"/>
  <c r="J16" i="9" s="1"/>
  <c r="K59" i="2"/>
  <c r="K58" i="2" s="1"/>
  <c r="I79" i="9" s="1"/>
  <c r="I112" i="9" s="1"/>
  <c r="L59" i="2"/>
  <c r="M94" i="2"/>
  <c r="K16" i="9" s="1"/>
  <c r="L88" i="2"/>
  <c r="I18" i="9"/>
  <c r="M88" i="2"/>
  <c r="K88" i="2"/>
  <c r="K87" i="2" s="1"/>
  <c r="M40" i="2"/>
  <c r="L34" i="2"/>
  <c r="M53" i="2"/>
  <c r="K82" i="2"/>
  <c r="M82" i="2"/>
  <c r="L15" i="2"/>
  <c r="J13" i="9" s="1"/>
  <c r="L53" i="2"/>
  <c r="M59" i="2"/>
  <c r="L28" i="2"/>
  <c r="J17" i="9" s="1"/>
  <c r="M46" i="2"/>
  <c r="K22" i="9" s="1"/>
  <c r="L46" i="2"/>
  <c r="J22" i="9" s="1"/>
  <c r="M65" i="2"/>
  <c r="K117" i="9" s="1"/>
  <c r="J26" i="6" s="1"/>
  <c r="L100" i="2"/>
  <c r="L65" i="2"/>
  <c r="J117" i="9" s="1"/>
  <c r="I26" i="6" s="1"/>
  <c r="K28" i="2"/>
  <c r="K21" i="2"/>
  <c r="I14" i="9" s="1"/>
  <c r="M28" i="2"/>
  <c r="K17" i="9" s="1"/>
  <c r="K53" i="2"/>
  <c r="L82" i="2"/>
  <c r="K65" i="2"/>
  <c r="K94" i="2"/>
  <c r="L40" i="2"/>
  <c r="M21" i="2"/>
  <c r="K14" i="9" s="1"/>
  <c r="M15" i="2"/>
  <c r="K13" i="9" s="1"/>
  <c r="J23" i="7" l="1"/>
  <c r="D32" i="6" s="1"/>
  <c r="K64" i="2"/>
  <c r="I117" i="9"/>
  <c r="H26" i="6" s="1"/>
  <c r="J24" i="9"/>
  <c r="L58" i="2"/>
  <c r="J79" i="9" s="1"/>
  <c r="K24" i="9"/>
  <c r="M58" i="2"/>
  <c r="K79" i="9" s="1"/>
  <c r="I24" i="9"/>
  <c r="L45" i="2"/>
  <c r="M45" i="2"/>
  <c r="I16" i="9"/>
  <c r="K93" i="2"/>
  <c r="J15" i="9"/>
  <c r="K15" i="9"/>
  <c r="I15" i="9"/>
  <c r="I17" i="9"/>
  <c r="K20" i="2"/>
  <c r="I35" i="9" s="1"/>
  <c r="H14" i="6" s="1"/>
  <c r="I32" i="9"/>
  <c r="I80" i="9" s="1"/>
  <c r="C47" i="6" l="1"/>
  <c r="H10" i="6"/>
  <c r="L87" i="2"/>
  <c r="J32" i="6" l="1"/>
  <c r="G32" i="6"/>
  <c r="G34" i="6" s="1"/>
  <c r="G35" i="6" s="1"/>
  <c r="H32" i="6"/>
  <c r="H34" i="6" s="1"/>
  <c r="I32" i="6"/>
  <c r="I34" i="6" s="1"/>
  <c r="J34" i="6" l="1"/>
  <c r="R10" i="6" s="1"/>
  <c r="J12" i="9"/>
  <c r="J31" i="9" s="1"/>
  <c r="I7" i="6" s="1"/>
  <c r="H46" i="9"/>
  <c r="H11" i="6" l="1"/>
  <c r="K12" i="9" l="1"/>
  <c r="K31" i="9" s="1"/>
  <c r="J7" i="6" s="1"/>
  <c r="H12" i="6"/>
  <c r="I8" i="6"/>
  <c r="J83" i="9"/>
  <c r="M99" i="2"/>
  <c r="K83" i="9" l="1"/>
  <c r="K81" i="2"/>
  <c r="I46" i="9"/>
  <c r="I43" i="9" l="1"/>
  <c r="J8" i="6"/>
  <c r="I25" i="9" l="1"/>
  <c r="K52" i="2"/>
  <c r="I75" i="9" s="1"/>
  <c r="K27" i="2"/>
  <c r="I36" i="9" s="1"/>
  <c r="H16" i="6" s="1"/>
  <c r="K33" i="2"/>
  <c r="K39" i="2"/>
  <c r="H15" i="6" l="1"/>
  <c r="L81" i="2"/>
  <c r="L93" i="2"/>
  <c r="I64" i="9"/>
  <c r="I109" i="9" s="1"/>
  <c r="L14" i="2"/>
  <c r="L20" i="2"/>
  <c r="J35" i="9" s="1"/>
  <c r="I14" i="6" s="1"/>
  <c r="L64" i="2"/>
  <c r="L33" i="2"/>
  <c r="L52" i="2"/>
  <c r="J75" i="9" s="1"/>
  <c r="L27" i="2"/>
  <c r="J36" i="9" s="1"/>
  <c r="I16" i="6" s="1"/>
  <c r="L39" i="2"/>
  <c r="I120" i="9"/>
  <c r="J43" i="9" l="1"/>
  <c r="J46" i="9"/>
  <c r="J32" i="9"/>
  <c r="H25" i="6"/>
  <c r="I33" i="9"/>
  <c r="I21" i="9"/>
  <c r="M87" i="2"/>
  <c r="M81" i="2"/>
  <c r="M93" i="2"/>
  <c r="J64" i="9"/>
  <c r="J109" i="9" s="1"/>
  <c r="M52" i="2"/>
  <c r="K75" i="9" s="1"/>
  <c r="M20" i="2"/>
  <c r="K35" i="9" s="1"/>
  <c r="J14" i="6" s="1"/>
  <c r="M27" i="2"/>
  <c r="K36" i="9" s="1"/>
  <c r="J16" i="6" s="1"/>
  <c r="M64" i="2"/>
  <c r="M39" i="2"/>
  <c r="M14" i="2"/>
  <c r="M33" i="2"/>
  <c r="J120" i="9"/>
  <c r="I10" i="6" l="1"/>
  <c r="I11" i="6" s="1"/>
  <c r="I12" i="6" s="1"/>
  <c r="J80" i="9"/>
  <c r="J25" i="9"/>
  <c r="K25" i="9"/>
  <c r="K43" i="9"/>
  <c r="K46" i="9"/>
  <c r="K32" i="9"/>
  <c r="I15" i="6"/>
  <c r="K120" i="9"/>
  <c r="K64" i="9"/>
  <c r="K109" i="9" s="1"/>
  <c r="J10" i="6" l="1"/>
  <c r="J11" i="6" s="1"/>
  <c r="J12" i="6" s="1"/>
  <c r="K80" i="9"/>
  <c r="I25" i="6"/>
  <c r="J33" i="9"/>
  <c r="J21" i="9"/>
  <c r="J15" i="6" l="1"/>
  <c r="J25" i="6" l="1"/>
  <c r="K33" i="9"/>
  <c r="K21" i="9"/>
  <c r="H39" i="9" l="1"/>
  <c r="K39" i="9" l="1"/>
  <c r="K41" i="9" s="1"/>
  <c r="K47" i="9" s="1"/>
  <c r="I17" i="6"/>
  <c r="J39" i="9"/>
  <c r="J41" i="9" s="1"/>
  <c r="J47" i="9" s="1"/>
  <c r="J50" i="9" l="1"/>
  <c r="K50" i="9"/>
  <c r="J17" i="6"/>
  <c r="I18" i="6"/>
  <c r="K52" i="9" l="1"/>
  <c r="J20" i="6" s="1"/>
  <c r="J21" i="6" s="1"/>
  <c r="J52" i="9"/>
  <c r="I20" i="6" s="1"/>
  <c r="I21" i="6" s="1"/>
  <c r="J18" i="6"/>
  <c r="I22" i="6" l="1"/>
  <c r="I23" i="6" s="1"/>
  <c r="J53" i="9"/>
  <c r="J105" i="9" s="1"/>
  <c r="K53" i="9"/>
  <c r="K105" i="9" s="1"/>
  <c r="J22" i="6"/>
  <c r="J23" i="6" s="1"/>
  <c r="H33" i="9"/>
  <c r="H41" i="9" l="1"/>
  <c r="H47" i="9" s="1"/>
  <c r="J76" i="2" s="1"/>
  <c r="H13" i="9"/>
  <c r="H50" i="9"/>
  <c r="H53" i="9" s="1"/>
  <c r="H105" i="9" s="1"/>
  <c r="H114" i="9" s="1"/>
  <c r="H137" i="9" s="1"/>
  <c r="H138" i="9" s="1"/>
  <c r="I136" i="9" s="1"/>
  <c r="H84" i="9"/>
  <c r="H88" i="9" s="1"/>
  <c r="I39" i="9"/>
  <c r="I41" i="9" s="1"/>
  <c r="I47" i="9" s="1"/>
  <c r="H17" i="6"/>
  <c r="H18" i="9" l="1"/>
  <c r="I50" i="9"/>
  <c r="H95" i="9"/>
  <c r="H18" i="6"/>
  <c r="I52" i="9" l="1"/>
  <c r="H20" i="6" s="1"/>
  <c r="H21" i="6" s="1"/>
  <c r="H69" i="9"/>
  <c r="H98" i="9"/>
  <c r="I53" i="9" l="1"/>
  <c r="I94" i="9" s="1"/>
  <c r="J94" i="9" s="1"/>
  <c r="H22" i="6"/>
  <c r="H23" i="6" s="1"/>
  <c r="I95" i="9" l="1"/>
  <c r="I105" i="9"/>
  <c r="J95" i="9" l="1"/>
  <c r="K94" i="9" l="1"/>
  <c r="K95" i="9" s="1"/>
  <c r="L99" i="2"/>
  <c r="I11" i="2"/>
  <c r="I23" i="9" l="1"/>
  <c r="J23" i="9"/>
  <c r="K23" i="9"/>
  <c r="I84" i="9" l="1"/>
  <c r="I88" i="9" s="1"/>
  <c r="I97" i="9" s="1"/>
  <c r="J84" i="9"/>
  <c r="J88" i="9" s="1"/>
  <c r="J97" i="9" s="1"/>
  <c r="J112" i="9"/>
  <c r="K84" i="9"/>
  <c r="K88" i="9" s="1"/>
  <c r="K97" i="9" s="1"/>
  <c r="K112" i="9"/>
  <c r="J114" i="9" l="1"/>
  <c r="J137" i="9" s="1"/>
  <c r="I114" i="9"/>
  <c r="I137" i="9" s="1"/>
  <c r="I138" i="9" s="1"/>
  <c r="K114" i="9"/>
  <c r="K137" i="9" s="1"/>
  <c r="I62" i="9" l="1"/>
  <c r="I69" i="9" s="1"/>
  <c r="J136" i="9"/>
  <c r="J138" i="9" s="1"/>
  <c r="I76" i="9" l="1"/>
  <c r="I98" i="9" s="1"/>
  <c r="H27" i="6"/>
  <c r="H29" i="6" s="1"/>
  <c r="K136" i="9"/>
  <c r="K138" i="9" s="1"/>
  <c r="K62" i="9" s="1"/>
  <c r="K69" i="9" s="1"/>
  <c r="J62" i="9"/>
  <c r="J69" i="9" s="1"/>
  <c r="J76" i="9" l="1"/>
  <c r="J98" i="9" s="1"/>
  <c r="I27" i="6"/>
  <c r="I29" i="6" s="1"/>
  <c r="K76" i="9"/>
  <c r="K98" i="9" s="1"/>
  <c r="J27" i="6"/>
  <c r="H30" i="6"/>
  <c r="H35" i="6"/>
  <c r="I35" i="6" l="1"/>
  <c r="I30" i="6"/>
  <c r="J29" i="6"/>
  <c r="J30" i="6" l="1"/>
  <c r="J35" i="6"/>
  <c r="R7" i="6"/>
  <c r="R9" i="6" s="1"/>
  <c r="J37" i="6" l="1"/>
  <c r="R12" i="6" s="1"/>
  <c r="R11" i="6" l="1"/>
  <c r="R13" i="6" l="1"/>
  <c r="R16" i="6" s="1"/>
  <c r="R18" i="6" l="1"/>
  <c r="R19" i="6" s="1"/>
  <c r="C43" i="6"/>
  <c r="J87" i="2"/>
  <c r="J88" i="2"/>
  <c r="I88" i="2"/>
  <c r="I87" i="2"/>
  <c r="J81" i="2"/>
  <c r="J82" i="2"/>
  <c r="I82" i="2"/>
  <c r="I81" i="2"/>
</calcChain>
</file>

<file path=xl/sharedStrings.xml><?xml version="1.0" encoding="utf-8"?>
<sst xmlns="http://schemas.openxmlformats.org/spreadsheetml/2006/main" count="450" uniqueCount="232">
  <si>
    <t>Base</t>
  </si>
  <si>
    <t xml:space="preserve">Bull </t>
  </si>
  <si>
    <t>Bear</t>
  </si>
  <si>
    <t>First Solar</t>
  </si>
  <si>
    <t>Assumptions</t>
  </si>
  <si>
    <t xml:space="preserve">Active Case: </t>
  </si>
  <si>
    <t>Historical Years</t>
  </si>
  <si>
    <t>Forecasted Years</t>
  </si>
  <si>
    <t>2021A</t>
  </si>
  <si>
    <t>2022A</t>
  </si>
  <si>
    <t>2023A</t>
  </si>
  <si>
    <t>2024A</t>
  </si>
  <si>
    <t>2026E</t>
  </si>
  <si>
    <t>2027E</t>
  </si>
  <si>
    <t>2028E</t>
  </si>
  <si>
    <t>Products Revenue</t>
  </si>
  <si>
    <t>% Growth</t>
  </si>
  <si>
    <t>Cost of Goods Sold</t>
  </si>
  <si>
    <t>% of Products Revenue</t>
  </si>
  <si>
    <t>SG&amp;A Expense</t>
  </si>
  <si>
    <t>% of Revenue</t>
  </si>
  <si>
    <t>R&amp;D Expense</t>
  </si>
  <si>
    <t>Depreciation &amp; Amort</t>
  </si>
  <si>
    <t>Other Operating Expense</t>
  </si>
  <si>
    <t>Other Non-Operating Inc.</t>
  </si>
  <si>
    <t xml:space="preserve">Accounts Receivable </t>
  </si>
  <si>
    <t>Accounts Receivable Days</t>
  </si>
  <si>
    <t>Other Current Assets</t>
  </si>
  <si>
    <t>Long-Term Investments</t>
  </si>
  <si>
    <t>Accounts Payable</t>
  </si>
  <si>
    <t>Accounts Payable Days</t>
  </si>
  <si>
    <t xml:space="preserve">Capital Expenditures </t>
  </si>
  <si>
    <t>Tax Rate</t>
  </si>
  <si>
    <t xml:space="preserve">Other Current Liabilities </t>
  </si>
  <si>
    <t>% of COGS</t>
  </si>
  <si>
    <t>Current Portion of Leases</t>
  </si>
  <si>
    <t>Interest Expense</t>
  </si>
  <si>
    <t>%Revenue</t>
  </si>
  <si>
    <t>Metrics &amp; Drivers</t>
  </si>
  <si>
    <t>Case</t>
  </si>
  <si>
    <t>$ in millions, unless otherwise noted</t>
  </si>
  <si>
    <t>For Fiscal Year Ending</t>
  </si>
  <si>
    <t>x</t>
  </si>
  <si>
    <t>Revenue Build</t>
  </si>
  <si>
    <t>Revenue</t>
  </si>
  <si>
    <t>% of revenue</t>
  </si>
  <si>
    <t>=OFFSET(I37,$G$3,0)</t>
  </si>
  <si>
    <t>Bull</t>
  </si>
  <si>
    <t>Modules Sold per year</t>
  </si>
  <si>
    <t>Other Metrics &amp; Drivers</t>
  </si>
  <si>
    <t>D&amp;A Expense</t>
  </si>
  <si>
    <t>% of capex</t>
  </si>
  <si>
    <t>Capital Expenditures</t>
  </si>
  <si>
    <t>Effective Tax Rate</t>
  </si>
  <si>
    <t>% effective tax rate</t>
  </si>
  <si>
    <t>Stock Based Compensation</t>
  </si>
  <si>
    <t>Current Operating Asset 1</t>
  </si>
  <si>
    <t>Current Operating Asset 2</t>
  </si>
  <si>
    <t>Current Operating Asset 3</t>
  </si>
  <si>
    <t>Current Operating Asset 4</t>
  </si>
  <si>
    <t>Current Operating Liability 1</t>
  </si>
  <si>
    <t>Current Operating Liability 2</t>
  </si>
  <si>
    <t>Current Operating Liability 3</t>
  </si>
  <si>
    <t>Current Operating Liability 4</t>
  </si>
  <si>
    <t>Additional Schedules</t>
  </si>
  <si>
    <t>Net Working Capital</t>
  </si>
  <si>
    <t>Total Current Operating Assets</t>
  </si>
  <si>
    <t>Total Current Operating Liabilities</t>
  </si>
  <si>
    <t>Change in Net Working Capital</t>
  </si>
  <si>
    <t>Assumptions &amp; Drivers</t>
  </si>
  <si>
    <t>All figures in USD Millions unless stated</t>
  </si>
  <si>
    <t>Days in Period</t>
  </si>
  <si>
    <t>Income Statement</t>
  </si>
  <si>
    <t>Sales Growth</t>
  </si>
  <si>
    <t>Gross Margin</t>
  </si>
  <si>
    <t>SG&amp;A</t>
  </si>
  <si>
    <t>Capital Expenditure % of Revenue</t>
  </si>
  <si>
    <t>Interest Expense % of Revenue</t>
  </si>
  <si>
    <t>Depreciation (Percent of Sales)</t>
  </si>
  <si>
    <t>Tax Rate (Percent of EBT)</t>
  </si>
  <si>
    <t>-</t>
  </si>
  <si>
    <t>Balance Sheet</t>
  </si>
  <si>
    <t>Capital Asset Turnover Ratio</t>
  </si>
  <si>
    <t>(x)</t>
  </si>
  <si>
    <t>Receivable Days (Sales Basis)</t>
  </si>
  <si>
    <t>(Days)</t>
  </si>
  <si>
    <t>Inventory Days (COGS Basis)</t>
  </si>
  <si>
    <t>Payable Days (COGS Basis)</t>
  </si>
  <si>
    <t>Long Term Debt</t>
  </si>
  <si>
    <t xml:space="preserve"> Total Revenue</t>
  </si>
  <si>
    <t>Cost Of Goods Sold</t>
  </si>
  <si>
    <t xml:space="preserve">  Gross Profit</t>
  </si>
  <si>
    <t>Selling General &amp; Admin Exp.</t>
  </si>
  <si>
    <t>Depreciation &amp; Amort.</t>
  </si>
  <si>
    <t>Other Operating Expenses</t>
  </si>
  <si>
    <t>Total Operating Expenses</t>
  </si>
  <si>
    <t>EBIT (Operating Income)</t>
  </si>
  <si>
    <t>Interest and Invest. Income</t>
  </si>
  <si>
    <t>Foreign Currency Loss</t>
  </si>
  <si>
    <t xml:space="preserve">  Net Interest Exp.</t>
  </si>
  <si>
    <t>Earnings Before Taxes</t>
  </si>
  <si>
    <t>Taxes</t>
  </si>
  <si>
    <t>Net Income</t>
  </si>
  <si>
    <t>Dividends</t>
  </si>
  <si>
    <t>Assets</t>
  </si>
  <si>
    <t>Cash And Equivalents</t>
  </si>
  <si>
    <t>Short Term Investments</t>
  </si>
  <si>
    <t>Trade and Other Receivables</t>
  </si>
  <si>
    <t>Inventory</t>
  </si>
  <si>
    <t>Prepaid Exp.</t>
  </si>
  <si>
    <t>Restricted Cash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</si>
  <si>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</si>
  <si>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</si>
  <si>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</si>
  <si>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</si>
  <si>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Investments and Long-Term Assets</t>
  </si>
  <si>
    <t>Total Assets</t>
  </si>
  <si>
    <t>Liabilities</t>
  </si>
  <si>
    <t>Accrued Exp.</t>
  </si>
  <si>
    <t>Curr. Port. of LT Debt</t>
  </si>
  <si>
    <t>Def Tax Liability</t>
  </si>
  <si>
    <t>Unearned Revenue, Curr</t>
  </si>
  <si>
    <t xml:space="preserve">  Total Current Liabilities</t>
  </si>
  <si>
    <t>Long-Term Debt</t>
  </si>
  <si>
    <t>Other Non-Current Liabilities</t>
  </si>
  <si>
    <t>Total Liabilities</t>
  </si>
  <si>
    <t>Equity</t>
  </si>
  <si>
    <t>Common Stock</t>
  </si>
  <si>
    <t>Additional Paid In Capital</t>
  </si>
  <si>
    <t>Comprehensive and Others</t>
  </si>
  <si>
    <t>Retained Earnings</t>
  </si>
  <si>
    <t xml:space="preserve">  Total Common Equity</t>
  </si>
  <si>
    <t>Total Liabilities And Equity</t>
  </si>
  <si>
    <t>Cash Flow</t>
  </si>
  <si>
    <t xml:space="preserve"> </t>
  </si>
  <si>
    <t>Cash Flows from Operating Activities</t>
  </si>
  <si>
    <t>Depreciation &amp; Amort., Total</t>
  </si>
  <si>
    <t>Change in Acc. Receivable</t>
  </si>
  <si>
    <t>Change in Acc. Payable</t>
  </si>
  <si>
    <t>Cash flow from Operating Activities</t>
  </si>
  <si>
    <t xml:space="preserve">Investing Activities </t>
  </si>
  <si>
    <t>Cash flows from Investing Activities</t>
  </si>
  <si>
    <t>Financing Activities</t>
  </si>
  <si>
    <t>Total Debt Issued</t>
  </si>
  <si>
    <t>Total Debt Repaid</t>
  </si>
  <si>
    <t>Net Increase/(Decrease) in Debt</t>
  </si>
  <si>
    <t>Issuance of Common Stock</t>
  </si>
  <si>
    <t>Repurchase of Common Stock</t>
  </si>
  <si>
    <t>Net Increase/(Decrease) in Common Stock</t>
  </si>
  <si>
    <t>Total Dividends Paid</t>
  </si>
  <si>
    <t>Other Financing Activities</t>
  </si>
  <si>
    <t>Cash from Financing</t>
  </si>
  <si>
    <t>Initial Cash Balance</t>
  </si>
  <si>
    <t>Net Change in Cash</t>
  </si>
  <si>
    <t>Discounted Cash Flow Analysis</t>
  </si>
  <si>
    <t>Perpetuity Growth Method</t>
  </si>
  <si>
    <t>Total Revenues</t>
  </si>
  <si>
    <t>% growth</t>
  </si>
  <si>
    <t>Perpetuity Growth Rate</t>
  </si>
  <si>
    <t>Terminal Value</t>
  </si>
  <si>
    <t>Discount Factor</t>
  </si>
  <si>
    <t>Gross Profit</t>
  </si>
  <si>
    <t>Present Value of Terminal Value</t>
  </si>
  <si>
    <t>% margin</t>
  </si>
  <si>
    <t>Present Value of Cash Flow</t>
  </si>
  <si>
    <t>Total Enterprise Value</t>
  </si>
  <si>
    <t>Less: Debt</t>
  </si>
  <si>
    <t>Plus: Cash</t>
  </si>
  <si>
    <t>Total Equity Value</t>
  </si>
  <si>
    <t>EBIT</t>
  </si>
  <si>
    <t>Diluted Shares Outstanding</t>
  </si>
  <si>
    <t>Implied Share Price</t>
  </si>
  <si>
    <t>Net Operating Profit After Tax</t>
  </si>
  <si>
    <t>Plus: D&amp;A Expense</t>
  </si>
  <si>
    <t>Less: Capital Expenditures</t>
  </si>
  <si>
    <t>Less: Change in Net Working Capital</t>
  </si>
  <si>
    <t>Less: Stub Period</t>
  </si>
  <si>
    <t>Unlevered Free Cash Flow</t>
  </si>
  <si>
    <t>WACC</t>
  </si>
  <si>
    <t>Discount Period</t>
  </si>
  <si>
    <t>Present Value of Unlevered Free Cash Flow</t>
  </si>
  <si>
    <t>Sum of Present Value Cash Flows</t>
  </si>
  <si>
    <t>DCF Sensitivity Analysis: Upside / (Downside) - Perpetuity Growth Method</t>
  </si>
  <si>
    <t>Perpetuity Growth</t>
  </si>
  <si>
    <t>Weighted Average Cost of Capital</t>
  </si>
  <si>
    <t>Inputs</t>
  </si>
  <si>
    <t>Cost of Debt Calculation</t>
  </si>
  <si>
    <t>Risk-Free Rate</t>
  </si>
  <si>
    <t>Equity Risk Premium</t>
  </si>
  <si>
    <t>Beta</t>
  </si>
  <si>
    <t>Credit Spread on [XXX] Rating</t>
  </si>
  <si>
    <t>Pre-Tax Cost of Debt</t>
  </si>
  <si>
    <t>Current Share Price</t>
  </si>
  <si>
    <t>After-Tax Cost of Debt</t>
  </si>
  <si>
    <t>Market Value of Debt</t>
  </si>
  <si>
    <t>Cost of Equity Calculation</t>
  </si>
  <si>
    <t>16/11/2025</t>
  </si>
  <si>
    <t>Cost of Equity</t>
  </si>
  <si>
    <t>Weighted Average Cost of Capital Calculation</t>
  </si>
  <si>
    <t>Total Value</t>
  </si>
  <si>
    <t>%</t>
  </si>
  <si>
    <t>Cost</t>
  </si>
  <si>
    <t>Market Value of Equity</t>
  </si>
  <si>
    <t>Total</t>
  </si>
  <si>
    <t>Change in Inventory</t>
  </si>
  <si>
    <t>Non-operating Income Expense</t>
  </si>
  <si>
    <t>EBT Including Unusual Items</t>
  </si>
  <si>
    <t>Amort. Of Goodwill and Intangibles</t>
  </si>
  <si>
    <t>Other Amortization</t>
  </si>
  <si>
    <t>Other Operating Activities</t>
  </si>
  <si>
    <t>Other Investing Activities</t>
  </si>
  <si>
    <t>Capital Expenditure</t>
  </si>
  <si>
    <t>Ending Cash Balance (Incl. Restricted Cash)</t>
  </si>
  <si>
    <t>2025A</t>
  </si>
  <si>
    <t>Share Sales</t>
  </si>
  <si>
    <t>flatline</t>
  </si>
  <si>
    <t>lump into cash for modelling purposes</t>
  </si>
  <si>
    <t>p.a. 2% growth</t>
  </si>
  <si>
    <t>Purchase of Intangible Assets + Product Development</t>
  </si>
  <si>
    <t>Assumed business maintains short term financing strategy</t>
  </si>
  <si>
    <t>Increase in line with capitalized development expenditure</t>
  </si>
  <si>
    <t>Effective Tax Rate (UK Corp Tax 2025)</t>
  </si>
  <si>
    <t>Risk-Free Rate (10-Year Gilt)</t>
  </si>
  <si>
    <t>Beta*</t>
  </si>
  <si>
    <t>*5Y Beta = 0.53; more conservative 1.0 used</t>
  </si>
  <si>
    <t>2026 forecast based on H1 revenue of 51.1m and guidance of continued strenght</t>
  </si>
  <si>
    <t>£ in millions, unless otherwise noted</t>
  </si>
  <si>
    <t>£ In Millions, Unless Otherwise Noted</t>
  </si>
  <si>
    <t>Upside</t>
  </si>
  <si>
    <t>WACC Calculation</t>
  </si>
  <si>
    <t>2028E Unlevered Free Cash Flow</t>
  </si>
  <si>
    <t xml:space="preserve">£1.30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</si>
</sst>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&quot;$&quot;#,##0.0_);\(&quot;$&quot;#,##0.0\)"/>
    <numFmt numFmtId="168" formatCode="_(#,##0.0%_);\(#,##0.0%\);_(&quot;–&quot;_)_%;_(@_)_%"/>
    <numFmt numFmtId="169" formatCode="_([$$-409]* #,##0.00_);_([$$-409]* \(#,##0.00\);_([$$-409]* &quot;-&quot;??_);_(@_)"/>
    <numFmt numFmtId="170" formatCode="0&quot;A&quot;"/>
    <numFmt numFmtId="171" formatCode="0&quot;E&quot;"/>
    <numFmt numFmtId="172" formatCode="#,##0.0_);\(#,##0.0\);\-\ \-_)"/>
    <numFmt numFmtId="173" formatCode="0.0%_);\(0.0%\);\-\ \-\%_);"/>
    <numFmt numFmtId="174" formatCode="&quot;$&quot;0.00_);\(&quot;$&quot;0.00\);&quot;$&quot;\-\ \-_);"/>
    <numFmt numFmtId="175" formatCode="0.0%"/>
    <numFmt numFmtId="176" formatCode="#,##0.000"/>
    <numFmt numFmtId="177" formatCode="_(* #,##0.0#_);_(* \(#,##0.0#\)_)\ ;_(* 0_)"/>
    <numFmt numFmtId="178" formatCode="#,##0_);\(#,##0\);\-"/>
    <numFmt numFmtId="179" formatCode="_-* #,##0_-;\(#,##0\)_-;_-* &quot;-&quot;_-;_-@_-"/>
    <numFmt numFmtId="180" formatCode="&quot;Year &quot;0;&quot;Year &quot;\-0"/>
    <numFmt numFmtId="181" formatCode="_(#,##0_);\(#,##0\);_(&quot;–&quot;_);_(@_)"/>
    <numFmt numFmtId="182" formatCode="_(* #,##0.00_);_(* \(#,##0.00\)_)\ ;_(* 0.0_)"/>
    <numFmt numFmtId="183" formatCode="_(#,##0.0%_);\(#,##0.0%\);_(&quot;–&quot;_);_(@_)"/>
    <numFmt numFmtId="184" formatCode="_(#,##0.00_);\(#,##0.00\);_(&quot;–&quot;_);_(@_)"/>
    <numFmt numFmtId="185" formatCode="#,##0.00_);\(#,##0.00\);\-\ \-_)"/>
    <numFmt numFmtId="186" formatCode="&quot;£&quot;0.00_);\(&quot;£&quot;0.00\);&quot;£&quot;\-\ \-_);"/>
  </numFmts>
  <fonts count="7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Open Sans"/>
      <family val="2"/>
    </font>
    <font>
      <sz val="11"/>
      <color theme="1"/>
      <name val="Open Sans"/>
      <family val="2"/>
    </font>
    <font>
      <sz val="11"/>
      <name val="Open Sans"/>
      <family val="2"/>
    </font>
    <font>
      <sz val="12"/>
      <color theme="0"/>
      <name val="Open Sans"/>
      <family val="2"/>
    </font>
    <font>
      <i/>
      <sz val="12"/>
      <color theme="1"/>
      <name val="Open Sans"/>
      <family val="2"/>
    </font>
    <font>
      <b/>
      <sz val="14"/>
      <color theme="0"/>
      <name val="Open Sans"/>
      <family val="2"/>
    </font>
    <font>
      <sz val="10"/>
      <name val="Arial"/>
      <family val="2"/>
    </font>
    <font>
      <sz val="10"/>
      <color theme="0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sz val="1"/>
      <color indexed="9"/>
      <name val="Symbol"/>
      <family val="1"/>
      <charset val="2"/>
    </font>
    <font>
      <sz val="10"/>
      <color indexed="9"/>
      <name val="Open Sans"/>
      <family val="2"/>
    </font>
    <font>
      <i/>
      <sz val="10"/>
      <color indexed="8"/>
      <name val="Open Sans"/>
      <family val="2"/>
    </font>
    <font>
      <b/>
      <sz val="10"/>
      <color indexed="8"/>
      <name val="Open Sans"/>
      <family val="2"/>
    </font>
    <font>
      <sz val="10"/>
      <name val="Bookman"/>
      <family val="1"/>
    </font>
    <font>
      <i/>
      <sz val="9"/>
      <color rgb="FF000000"/>
      <name val="Open Sans"/>
      <family val="2"/>
    </font>
    <font>
      <b/>
      <sz val="10"/>
      <color rgb="FF3271D2"/>
      <name val="Open Sans"/>
      <family val="2"/>
    </font>
    <font>
      <b/>
      <sz val="10"/>
      <color rgb="FF000000"/>
      <name val="Open Sans"/>
      <family val="2"/>
    </font>
    <font>
      <sz val="10"/>
      <color theme="4"/>
      <name val="Open Sans"/>
      <family val="2"/>
    </font>
    <font>
      <sz val="10"/>
      <color rgb="FF3271D2"/>
      <name val="Open Sans"/>
      <family val="2"/>
    </font>
    <font>
      <sz val="10"/>
      <color rgb="FF000000"/>
      <name val="Open Sans"/>
      <family val="2"/>
    </font>
    <font>
      <sz val="10"/>
      <color theme="1"/>
      <name val="Open Sans"/>
      <family val="2"/>
    </font>
    <font>
      <sz val="11"/>
      <color theme="4"/>
      <name val="Calibri"/>
      <family val="2"/>
      <scheme val="minor"/>
    </font>
    <font>
      <i/>
      <sz val="8"/>
      <name val="Open Sans"/>
      <family val="2"/>
    </font>
    <font>
      <b/>
      <sz val="14"/>
      <color indexed="9"/>
      <name val="Open Sans"/>
      <family val="2"/>
    </font>
    <font>
      <b/>
      <sz val="10"/>
      <color indexed="9"/>
      <name val="Open Sans"/>
      <family val="2"/>
    </font>
    <font>
      <b/>
      <sz val="10"/>
      <color theme="1"/>
      <name val="Open Sans"/>
      <family val="2"/>
    </font>
    <font>
      <b/>
      <sz val="10"/>
      <color theme="4"/>
      <name val="Open Sans"/>
      <family val="2"/>
    </font>
    <font>
      <sz val="10"/>
      <color indexed="8"/>
      <name val="Open Sans"/>
      <family val="2"/>
    </font>
    <font>
      <b/>
      <u val="double"/>
      <sz val="10"/>
      <color indexed="8"/>
      <name val="Open Sans"/>
      <family val="2"/>
    </font>
    <font>
      <b/>
      <u val="double"/>
      <sz val="10"/>
      <color theme="4"/>
      <name val="Open Sans"/>
      <family val="2"/>
    </font>
    <font>
      <b/>
      <i/>
      <sz val="10"/>
      <color indexed="8"/>
      <name val="Open Sans"/>
      <family val="2"/>
    </font>
    <font>
      <b/>
      <u val="doubleAccounting"/>
      <sz val="10"/>
      <color theme="4"/>
      <name val="Open Sans"/>
      <family val="2"/>
    </font>
    <font>
      <b/>
      <u/>
      <sz val="10"/>
      <color theme="4"/>
      <name val="Open Sans"/>
      <family val="2"/>
    </font>
    <font>
      <b/>
      <i/>
      <sz val="10"/>
      <name val="Open Sans"/>
      <family val="2"/>
    </font>
    <font>
      <sz val="10"/>
      <color rgb="FFFF0000"/>
      <name val="Open Sans"/>
      <family val="2"/>
    </font>
    <font>
      <sz val="8"/>
      <color theme="1"/>
      <name val="Open Sans"/>
      <family val="2"/>
    </font>
    <font>
      <b/>
      <sz val="14"/>
      <color theme="1"/>
      <name val="Open Sans"/>
      <family val="2"/>
    </font>
    <font>
      <i/>
      <sz val="10"/>
      <color theme="1"/>
      <name val="Open Sans"/>
      <family val="2"/>
    </font>
    <font>
      <b/>
      <sz val="11"/>
      <color theme="0"/>
      <name val="Open Sans"/>
      <family val="2"/>
    </font>
    <font>
      <i/>
      <sz val="11"/>
      <color theme="1"/>
      <name val="Open Sans"/>
      <family val="2"/>
    </font>
    <font>
      <b/>
      <sz val="11"/>
      <color rgb="FF00B050"/>
      <name val="Open Sans"/>
      <family val="2"/>
    </font>
    <font>
      <i/>
      <sz val="11"/>
      <color rgb="FF0000FF"/>
      <name val="Open Sans"/>
      <family val="2"/>
    </font>
    <font>
      <i/>
      <sz val="11"/>
      <color rgb="FF0432FF"/>
      <name val="Open Sans"/>
      <family val="2"/>
    </font>
    <font>
      <b/>
      <sz val="12"/>
      <color theme="0"/>
      <name val="Open Sans"/>
      <family val="2"/>
    </font>
    <font>
      <sz val="12"/>
      <color rgb="FF000000"/>
      <name val="Open Sans"/>
      <family val="2"/>
    </font>
    <font>
      <sz val="11"/>
      <color theme="1"/>
      <name val="Open Sans'"/>
    </font>
    <font>
      <sz val="12"/>
      <color theme="1"/>
      <name val="Open Sans'"/>
    </font>
    <font>
      <b/>
      <sz val="14"/>
      <color theme="1"/>
      <name val="Open Sans'"/>
    </font>
    <font>
      <i/>
      <sz val="12"/>
      <color theme="1"/>
      <name val="Open Sans'"/>
    </font>
    <font>
      <b/>
      <sz val="12"/>
      <color theme="0"/>
      <name val="Open Sans'"/>
    </font>
    <font>
      <sz val="11"/>
      <name val="Open Sans'"/>
    </font>
    <font>
      <b/>
      <sz val="12"/>
      <color theme="1"/>
      <name val="Open Sans'"/>
    </font>
    <font>
      <sz val="12"/>
      <color rgb="FF000000"/>
      <name val="Open Sans'"/>
    </font>
    <font>
      <sz val="12"/>
      <color rgb="FF008000"/>
      <name val="Open Sans'"/>
    </font>
    <font>
      <strike/>
      <sz val="12"/>
      <color theme="1"/>
      <name val="Open Sans"/>
      <family val="2"/>
    </font>
    <font>
      <sz val="12"/>
      <color theme="0"/>
      <name val="Open Sans'"/>
    </font>
    <font>
      <sz val="12"/>
      <color rgb="FF001D38"/>
      <name val="Open Sans'"/>
    </font>
    <font>
      <sz val="11"/>
      <color theme="0"/>
      <name val="Open Sans"/>
      <family val="2"/>
    </font>
    <font>
      <b/>
      <sz val="12"/>
      <color theme="2"/>
      <name val="Open Sans'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CBCBCB"/>
        <bgColor rgb="FFCBCBCB"/>
      </patternFill>
    </fill>
    <fill>
      <patternFill patternType="solid">
        <fgColor rgb="FFA3C1AD"/>
        <bgColor rgb="FF00B0F0"/>
      </patternFill>
    </fill>
    <fill>
      <patternFill patternType="solid">
        <fgColor rgb="FFA3C1AD"/>
        <bgColor rgb="FFABE9FF"/>
      </patternFill>
    </fill>
    <fill>
      <patternFill patternType="solid">
        <fgColor rgb="FFA3C1AD"/>
        <bgColor indexed="64"/>
      </patternFill>
    </fill>
    <fill>
      <patternFill patternType="solid">
        <fgColor rgb="FFA3C1AD"/>
        <bgColor theme="0"/>
      </patternFill>
    </fill>
    <fill>
      <patternFill patternType="solid">
        <fgColor rgb="FFA3C1AD"/>
        <bgColor rgb="FF6565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C1AD"/>
        <bgColor rgb="FF000000"/>
      </patternFill>
    </fill>
    <fill>
      <patternFill patternType="solid">
        <fgColor rgb="FFF7F2EC"/>
        <bgColor indexed="64"/>
      </patternFill>
    </fill>
    <fill>
      <patternFill patternType="solid">
        <fgColor rgb="FF001D38"/>
        <bgColor indexed="64"/>
      </patternFill>
    </fill>
    <fill>
      <patternFill patternType="solid">
        <fgColor rgb="FF001D38"/>
        <bgColor rgb="FF00B0F0"/>
      </patternFill>
    </fill>
    <fill>
      <patternFill patternType="solid">
        <fgColor rgb="FF001D38"/>
        <bgColor rgb="FFABE9FF"/>
      </patternFill>
    </fill>
    <fill>
      <patternFill patternType="solid">
        <fgColor rgb="FFFFFFFF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rgb="FF00B0F0"/>
        <bgColor rgb="FFABE9FF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9">
    <xf numFmtId="0" fontId="0" fillId="0" borderId="0"/>
    <xf numFmtId="0" fontId="5" fillId="0" borderId="1"/>
    <xf numFmtId="0" fontId="18" fillId="0" borderId="1"/>
    <xf numFmtId="0" fontId="22" fillId="0" borderId="1" applyAlignment="0"/>
    <xf numFmtId="43" fontId="26" fillId="0" borderId="1" applyFont="0" applyFill="0" applyBorder="0" applyAlignment="0" applyProtection="0"/>
    <xf numFmtId="9" fontId="5" fillId="0" borderId="1" applyFont="0" applyFill="0" applyBorder="0" applyAlignment="0" applyProtection="0"/>
    <xf numFmtId="0" fontId="18" fillId="0" borderId="1"/>
    <xf numFmtId="9" fontId="72" fillId="0" borderId="0" applyFont="0" applyFill="0" applyBorder="0" applyAlignment="0" applyProtection="0"/>
    <xf numFmtId="0" fontId="3" fillId="0" borderId="1"/>
  </cellStyleXfs>
  <cellXfs count="454">
    <xf numFmtId="0" fontId="0" fillId="0" borderId="0" xfId="0"/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16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172" fontId="7" fillId="0" borderId="0" xfId="0" applyNumberFormat="1" applyFont="1" applyAlignment="1">
      <alignment vertical="center"/>
    </xf>
    <xf numFmtId="172" fontId="7" fillId="0" borderId="12" xfId="0" applyNumberFormat="1" applyFont="1" applyBorder="1" applyAlignment="1">
      <alignment vertical="center"/>
    </xf>
    <xf numFmtId="173" fontId="10" fillId="0" borderId="0" xfId="0" applyNumberFormat="1" applyFont="1" applyAlignment="1">
      <alignment vertical="center"/>
    </xf>
    <xf numFmtId="173" fontId="10" fillId="0" borderId="12" xfId="0" applyNumberFormat="1" applyFont="1" applyBorder="1" applyAlignment="1">
      <alignment vertical="center"/>
    </xf>
    <xf numFmtId="173" fontId="6" fillId="0" borderId="0" xfId="0" applyNumberFormat="1" applyFont="1" applyAlignment="1">
      <alignment vertical="center"/>
    </xf>
    <xf numFmtId="173" fontId="6" fillId="0" borderId="12" xfId="0" applyNumberFormat="1" applyFont="1" applyBorder="1" applyAlignment="1">
      <alignment vertical="center"/>
    </xf>
    <xf numFmtId="173" fontId="10" fillId="4" borderId="2" xfId="0" applyNumberFormat="1" applyFont="1" applyFill="1" applyBorder="1" applyAlignment="1">
      <alignment vertical="center"/>
    </xf>
    <xf numFmtId="172" fontId="6" fillId="0" borderId="0" xfId="0" applyNumberFormat="1" applyFont="1" applyAlignment="1">
      <alignment vertical="center"/>
    </xf>
    <xf numFmtId="172" fontId="6" fillId="0" borderId="12" xfId="0" applyNumberFormat="1" applyFont="1" applyBorder="1" applyAlignment="1">
      <alignment vertical="center"/>
    </xf>
    <xf numFmtId="0" fontId="13" fillId="0" borderId="0" xfId="0" applyFont="1"/>
    <xf numFmtId="0" fontId="11" fillId="3" borderId="21" xfId="0" applyFont="1" applyFill="1" applyBorder="1" applyAlignment="1">
      <alignment vertical="center"/>
    </xf>
    <xf numFmtId="0" fontId="11" fillId="3" borderId="26" xfId="0" applyFont="1" applyFill="1" applyBorder="1" applyAlignment="1">
      <alignment vertical="center"/>
    </xf>
    <xf numFmtId="170" fontId="11" fillId="3" borderId="26" xfId="0" applyNumberFormat="1" applyFont="1" applyFill="1" applyBorder="1" applyAlignment="1">
      <alignment vertical="center"/>
    </xf>
    <xf numFmtId="170" fontId="11" fillId="3" borderId="22" xfId="0" applyNumberFormat="1" applyFont="1" applyFill="1" applyBorder="1" applyAlignment="1">
      <alignment vertical="center"/>
    </xf>
    <xf numFmtId="171" fontId="11" fillId="3" borderId="26" xfId="0" applyNumberFormat="1" applyFont="1" applyFill="1" applyBorder="1" applyAlignment="1">
      <alignment vertical="center"/>
    </xf>
    <xf numFmtId="171" fontId="11" fillId="3" borderId="22" xfId="0" applyNumberFormat="1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11" fillId="5" borderId="21" xfId="0" applyFont="1" applyFill="1" applyBorder="1" applyAlignment="1">
      <alignment vertical="center"/>
    </xf>
    <xf numFmtId="0" fontId="11" fillId="5" borderId="26" xfId="0" applyFont="1" applyFill="1" applyBorder="1" applyAlignment="1">
      <alignment vertical="center"/>
    </xf>
    <xf numFmtId="170" fontId="11" fillId="5" borderId="26" xfId="0" applyNumberFormat="1" applyFont="1" applyFill="1" applyBorder="1" applyAlignment="1">
      <alignment vertical="center"/>
    </xf>
    <xf numFmtId="170" fontId="11" fillId="5" borderId="22" xfId="0" applyNumberFormat="1" applyFont="1" applyFill="1" applyBorder="1" applyAlignment="1">
      <alignment vertical="center"/>
    </xf>
    <xf numFmtId="171" fontId="11" fillId="5" borderId="26" xfId="0" applyNumberFormat="1" applyFont="1" applyFill="1" applyBorder="1" applyAlignment="1">
      <alignment vertical="center"/>
    </xf>
    <xf numFmtId="171" fontId="11" fillId="5" borderId="22" xfId="0" applyNumberFormat="1" applyFont="1" applyFill="1" applyBorder="1" applyAlignment="1">
      <alignment vertical="center"/>
    </xf>
    <xf numFmtId="0" fontId="7" fillId="6" borderId="26" xfId="0" applyFont="1" applyFill="1" applyBorder="1" applyAlignment="1">
      <alignment vertical="center"/>
    </xf>
    <xf numFmtId="172" fontId="7" fillId="6" borderId="26" xfId="0" applyNumberFormat="1" applyFont="1" applyFill="1" applyBorder="1" applyAlignment="1">
      <alignment vertical="center"/>
    </xf>
    <xf numFmtId="172" fontId="7" fillId="6" borderId="22" xfId="0" applyNumberFormat="1" applyFont="1" applyFill="1" applyBorder="1" applyAlignment="1">
      <alignment vertical="center"/>
    </xf>
    <xf numFmtId="0" fontId="7" fillId="6" borderId="16" xfId="0" applyFont="1" applyFill="1" applyBorder="1" applyAlignment="1">
      <alignment vertical="center"/>
    </xf>
    <xf numFmtId="172" fontId="7" fillId="6" borderId="16" xfId="0" applyNumberFormat="1" applyFont="1" applyFill="1" applyBorder="1" applyAlignment="1">
      <alignment vertical="center"/>
    </xf>
    <xf numFmtId="172" fontId="7" fillId="6" borderId="19" xfId="0" applyNumberFormat="1" applyFont="1" applyFill="1" applyBorder="1" applyAlignment="1">
      <alignment vertical="center"/>
    </xf>
    <xf numFmtId="0" fontId="7" fillId="6" borderId="14" xfId="0" applyFont="1" applyFill="1" applyBorder="1" applyAlignment="1">
      <alignment vertical="center"/>
    </xf>
    <xf numFmtId="172" fontId="7" fillId="6" borderId="14" xfId="0" applyNumberFormat="1" applyFont="1" applyFill="1" applyBorder="1" applyAlignment="1">
      <alignment vertical="center"/>
    </xf>
    <xf numFmtId="172" fontId="7" fillId="6" borderId="20" xfId="0" applyNumberFormat="1" applyFont="1" applyFill="1" applyBorder="1" applyAlignment="1">
      <alignment vertical="center"/>
    </xf>
    <xf numFmtId="0" fontId="5" fillId="10" borderId="1" xfId="1" applyFill="1"/>
    <xf numFmtId="37" fontId="17" fillId="11" borderId="1" xfId="1" applyNumberFormat="1" applyFont="1" applyFill="1" applyAlignment="1">
      <alignment vertical="center"/>
    </xf>
    <xf numFmtId="177" fontId="19" fillId="10" borderId="1" xfId="2" applyNumberFormat="1" applyFont="1" applyFill="1"/>
    <xf numFmtId="0" fontId="5" fillId="0" borderId="1" xfId="1"/>
    <xf numFmtId="37" fontId="17" fillId="12" borderId="1" xfId="1" applyNumberFormat="1" applyFont="1" applyFill="1" applyAlignment="1">
      <alignment vertical="center"/>
    </xf>
    <xf numFmtId="177" fontId="19" fillId="7" borderId="1" xfId="2" applyNumberFormat="1" applyFont="1" applyFill="1"/>
    <xf numFmtId="0" fontId="20" fillId="0" borderId="1" xfId="1" applyFont="1"/>
    <xf numFmtId="0" fontId="21" fillId="0" borderId="1" xfId="1" applyFont="1"/>
    <xf numFmtId="178" fontId="21" fillId="0" borderId="1" xfId="1" applyNumberFormat="1" applyFont="1"/>
    <xf numFmtId="178" fontId="21" fillId="0" borderId="32" xfId="1" applyNumberFormat="1" applyFont="1" applyBorder="1"/>
    <xf numFmtId="177" fontId="23" fillId="0" borderId="32" xfId="3" applyNumberFormat="1" applyFont="1" applyBorder="1" applyAlignment="1"/>
    <xf numFmtId="177" fontId="24" fillId="10" borderId="1" xfId="2" applyNumberFormat="1" applyFont="1" applyFill="1" applyAlignment="1">
      <alignment wrapText="1"/>
    </xf>
    <xf numFmtId="177" fontId="25" fillId="10" borderId="31" xfId="2" applyNumberFormat="1" applyFont="1" applyFill="1" applyBorder="1" applyAlignment="1">
      <alignment horizontal="right"/>
    </xf>
    <xf numFmtId="179" fontId="27" fillId="0" borderId="1" xfId="4" applyNumberFormat="1" applyFont="1" applyAlignment="1" applyProtection="1">
      <alignment horizontal="left"/>
      <protection locked="0"/>
    </xf>
    <xf numFmtId="180" fontId="28" fillId="0" borderId="1" xfId="1" applyNumberFormat="1" applyFont="1" applyAlignment="1">
      <alignment horizontal="right" vertical="center"/>
    </xf>
    <xf numFmtId="180" fontId="29" fillId="0" borderId="1" xfId="1" applyNumberFormat="1" applyFont="1" applyAlignment="1">
      <alignment horizontal="right" vertical="center"/>
    </xf>
    <xf numFmtId="177" fontId="21" fillId="0" borderId="1" xfId="2" applyNumberFormat="1" applyFont="1"/>
    <xf numFmtId="181" fontId="30" fillId="0" borderId="1" xfId="1" applyNumberFormat="1" applyFont="1"/>
    <xf numFmtId="182" fontId="20" fillId="0" borderId="1" xfId="1" applyNumberFormat="1" applyFont="1"/>
    <xf numFmtId="181" fontId="31" fillId="0" borderId="1" xfId="1" applyNumberFormat="1" applyFont="1"/>
    <xf numFmtId="0" fontId="21" fillId="0" borderId="1" xfId="1" applyFont="1" applyAlignment="1">
      <alignment horizontal="left" indent="1"/>
    </xf>
    <xf numFmtId="0" fontId="21" fillId="0" borderId="1" xfId="2" applyFont="1"/>
    <xf numFmtId="183" fontId="21" fillId="0" borderId="33" xfId="5" applyNumberFormat="1" applyFont="1" applyBorder="1" applyAlignment="1">
      <alignment horizontal="right"/>
    </xf>
    <xf numFmtId="183" fontId="32" fillId="0" borderId="1" xfId="5" applyNumberFormat="1" applyFont="1" applyAlignment="1">
      <alignment horizontal="right"/>
    </xf>
    <xf numFmtId="183" fontId="33" fillId="0" borderId="1" xfId="5" applyNumberFormat="1" applyFont="1" applyAlignment="1">
      <alignment horizontal="right"/>
    </xf>
    <xf numFmtId="183" fontId="30" fillId="0" borderId="1" xfId="5" applyNumberFormat="1" applyFont="1" applyAlignment="1">
      <alignment horizontal="right"/>
    </xf>
    <xf numFmtId="2" fontId="32" fillId="0" borderId="1" xfId="1" applyNumberFormat="1" applyFont="1" applyAlignment="1">
      <alignment horizontal="right"/>
    </xf>
    <xf numFmtId="2" fontId="33" fillId="0" borderId="1" xfId="1" applyNumberFormat="1" applyFont="1" applyAlignment="1">
      <alignment horizontal="right"/>
    </xf>
    <xf numFmtId="0" fontId="21" fillId="0" borderId="1" xfId="1" applyFont="1" applyAlignment="1">
      <alignment horizontal="right" indent="1"/>
    </xf>
    <xf numFmtId="177" fontId="21" fillId="0" borderId="1" xfId="2" applyNumberFormat="1" applyFont="1" applyAlignment="1">
      <alignment horizontal="right"/>
    </xf>
    <xf numFmtId="0" fontId="20" fillId="0" borderId="1" xfId="1" applyFont="1" applyAlignment="1">
      <alignment horizontal="right"/>
    </xf>
    <xf numFmtId="0" fontId="21" fillId="0" borderId="1" xfId="1" applyFont="1" applyAlignment="1">
      <alignment horizontal="right"/>
    </xf>
    <xf numFmtId="0" fontId="34" fillId="0" borderId="1" xfId="1" applyFont="1" applyAlignment="1">
      <alignment horizontal="right"/>
    </xf>
    <xf numFmtId="0" fontId="35" fillId="0" borderId="1" xfId="1" applyFont="1" applyAlignment="1">
      <alignment horizontal="center"/>
    </xf>
    <xf numFmtId="177" fontId="21" fillId="0" borderId="1" xfId="1" applyNumberFormat="1" applyFont="1" applyAlignment="1">
      <alignment horizontal="right" indent="1"/>
    </xf>
    <xf numFmtId="0" fontId="33" fillId="0" borderId="1" xfId="1" applyFont="1"/>
    <xf numFmtId="177" fontId="36" fillId="7" borderId="1" xfId="2" applyNumberFormat="1" applyFont="1" applyFill="1"/>
    <xf numFmtId="177" fontId="37" fillId="7" borderId="1" xfId="2" applyNumberFormat="1" applyFont="1" applyFill="1"/>
    <xf numFmtId="177" fontId="23" fillId="7" borderId="1" xfId="3" applyNumberFormat="1" applyFont="1" applyFill="1"/>
    <xf numFmtId="177" fontId="21" fillId="7" borderId="1" xfId="2" applyNumberFormat="1" applyFont="1" applyFill="1"/>
    <xf numFmtId="0" fontId="33" fillId="7" borderId="1" xfId="1" applyFont="1" applyFill="1"/>
    <xf numFmtId="177" fontId="37" fillId="0" borderId="1" xfId="2" applyNumberFormat="1" applyFont="1"/>
    <xf numFmtId="177" fontId="24" fillId="10" borderId="1" xfId="2" applyNumberFormat="1" applyFont="1" applyFill="1"/>
    <xf numFmtId="177" fontId="25" fillId="10" borderId="1" xfId="2" applyNumberFormat="1" applyFont="1" applyFill="1" applyAlignment="1">
      <alignment horizontal="right"/>
    </xf>
    <xf numFmtId="177" fontId="20" fillId="0" borderId="1" xfId="1" applyNumberFormat="1" applyFont="1"/>
    <xf numFmtId="39" fontId="33" fillId="0" borderId="1" xfId="1" applyNumberFormat="1" applyFont="1"/>
    <xf numFmtId="39" fontId="30" fillId="0" borderId="1" xfId="1" applyNumberFormat="1" applyFont="1"/>
    <xf numFmtId="39" fontId="30" fillId="0" borderId="14" xfId="1" applyNumberFormat="1" applyFont="1" applyBorder="1"/>
    <xf numFmtId="2" fontId="33" fillId="0" borderId="1" xfId="1" applyNumberFormat="1" applyFont="1"/>
    <xf numFmtId="0" fontId="38" fillId="0" borderId="1" xfId="1" applyFont="1"/>
    <xf numFmtId="39" fontId="25" fillId="0" borderId="1" xfId="2" applyNumberFormat="1" applyFont="1" applyAlignment="1">
      <alignment horizontal="right" vertical="top" wrapText="1"/>
    </xf>
    <xf numFmtId="39" fontId="39" fillId="0" borderId="1" xfId="2" applyNumberFormat="1" applyFont="1" applyAlignment="1">
      <alignment horizontal="right" vertical="top" wrapText="1"/>
    </xf>
    <xf numFmtId="0" fontId="40" fillId="0" borderId="1" xfId="2" applyFont="1" applyAlignment="1">
      <alignment horizontal="left" vertical="top"/>
    </xf>
    <xf numFmtId="39" fontId="40" fillId="0" borderId="1" xfId="2" applyNumberFormat="1" applyFont="1" applyAlignment="1">
      <alignment horizontal="right" vertical="top" wrapText="1"/>
    </xf>
    <xf numFmtId="39" fontId="30" fillId="0" borderId="14" xfId="2" applyNumberFormat="1" applyFont="1" applyBorder="1" applyAlignment="1">
      <alignment horizontal="right" vertical="top" wrapText="1"/>
    </xf>
    <xf numFmtId="0" fontId="25" fillId="0" borderId="1" xfId="2" applyFont="1" applyAlignment="1">
      <alignment horizontal="left" vertical="top"/>
    </xf>
    <xf numFmtId="39" fontId="25" fillId="0" borderId="35" xfId="2" applyNumberFormat="1" applyFont="1" applyBorder="1" applyAlignment="1">
      <alignment horizontal="right" vertical="top" wrapText="1"/>
    </xf>
    <xf numFmtId="39" fontId="39" fillId="0" borderId="1" xfId="1" applyNumberFormat="1" applyFont="1"/>
    <xf numFmtId="39" fontId="40" fillId="0" borderId="1" xfId="2" applyNumberFormat="1" applyFont="1" applyAlignment="1">
      <alignment horizontal="left" vertical="top"/>
    </xf>
    <xf numFmtId="39" fontId="34" fillId="0" borderId="1" xfId="1" applyNumberFormat="1" applyFont="1"/>
    <xf numFmtId="39" fontId="40" fillId="0" borderId="14" xfId="2" applyNumberFormat="1" applyFont="1" applyBorder="1" applyAlignment="1">
      <alignment horizontal="right" vertical="top" wrapText="1"/>
    </xf>
    <xf numFmtId="39" fontId="30" fillId="0" borderId="1" xfId="2" applyNumberFormat="1" applyFont="1"/>
    <xf numFmtId="39" fontId="41" fillId="0" borderId="1" xfId="2" applyNumberFormat="1" applyFont="1" applyAlignment="1">
      <alignment horizontal="right" vertical="top" wrapText="1"/>
    </xf>
    <xf numFmtId="39" fontId="20" fillId="0" borderId="1" xfId="1" applyNumberFormat="1" applyFont="1"/>
    <xf numFmtId="39" fontId="21" fillId="0" borderId="1" xfId="2" applyNumberFormat="1" applyFont="1"/>
    <xf numFmtId="39" fontId="5" fillId="0" borderId="1" xfId="1" applyNumberFormat="1"/>
    <xf numFmtId="39" fontId="23" fillId="7" borderId="1" xfId="3" applyNumberFormat="1" applyFont="1" applyFill="1"/>
    <xf numFmtId="39" fontId="21" fillId="7" borderId="1" xfId="1" applyNumberFormat="1" applyFont="1" applyFill="1"/>
    <xf numFmtId="39" fontId="21" fillId="7" borderId="1" xfId="2" applyNumberFormat="1" applyFont="1" applyFill="1"/>
    <xf numFmtId="39" fontId="21" fillId="0" borderId="1" xfId="1" applyNumberFormat="1" applyFont="1"/>
    <xf numFmtId="177" fontId="25" fillId="10" borderId="1" xfId="2" applyNumberFormat="1" applyFont="1" applyFill="1" applyAlignment="1">
      <alignment horizontal="right" wrapText="1"/>
    </xf>
    <xf numFmtId="177" fontId="25" fillId="0" borderId="1" xfId="2" applyNumberFormat="1" applyFont="1" applyAlignment="1">
      <alignment horizontal="left" vertical="top"/>
    </xf>
    <xf numFmtId="177" fontId="43" fillId="0" borderId="1" xfId="2" applyNumberFormat="1" applyFont="1" applyAlignment="1">
      <alignment horizontal="left" vertical="top"/>
    </xf>
    <xf numFmtId="177" fontId="40" fillId="0" borderId="1" xfId="2" applyNumberFormat="1" applyFont="1" applyAlignment="1">
      <alignment horizontal="left" vertical="top"/>
    </xf>
    <xf numFmtId="177" fontId="40" fillId="0" borderId="1" xfId="2" applyNumberFormat="1" applyFont="1" applyAlignment="1">
      <alignment horizontal="right" vertical="top" wrapText="1"/>
    </xf>
    <xf numFmtId="184" fontId="30" fillId="0" borderId="1" xfId="2" applyNumberFormat="1" applyFont="1"/>
    <xf numFmtId="184" fontId="40" fillId="0" borderId="1" xfId="2" applyNumberFormat="1" applyFont="1" applyAlignment="1">
      <alignment horizontal="right" vertical="top" wrapText="1"/>
    </xf>
    <xf numFmtId="177" fontId="40" fillId="0" borderId="14" xfId="2" applyNumberFormat="1" applyFont="1" applyBorder="1" applyAlignment="1">
      <alignment horizontal="right" vertical="top" wrapText="1"/>
    </xf>
    <xf numFmtId="177" fontId="25" fillId="0" borderId="1" xfId="2" applyNumberFormat="1" applyFont="1" applyAlignment="1">
      <alignment horizontal="right" vertical="top" wrapText="1"/>
    </xf>
    <xf numFmtId="184" fontId="5" fillId="0" borderId="1" xfId="1" applyNumberFormat="1"/>
    <xf numFmtId="184" fontId="30" fillId="0" borderId="14" xfId="2" applyNumberFormat="1" applyFont="1" applyBorder="1"/>
    <xf numFmtId="184" fontId="39" fillId="0" borderId="1" xfId="2" applyNumberFormat="1" applyFont="1"/>
    <xf numFmtId="184" fontId="44" fillId="0" borderId="14" xfId="2" applyNumberFormat="1" applyFont="1" applyBorder="1"/>
    <xf numFmtId="177" fontId="25" fillId="0" borderId="1" xfId="1" applyNumberFormat="1" applyFont="1" applyAlignment="1">
      <alignment horizontal="left" vertical="top"/>
    </xf>
    <xf numFmtId="177" fontId="43" fillId="0" borderId="1" xfId="1" applyNumberFormat="1" applyFont="1" applyAlignment="1">
      <alignment horizontal="left" vertical="top"/>
    </xf>
    <xf numFmtId="177" fontId="40" fillId="0" borderId="1" xfId="1" applyNumberFormat="1" applyFont="1" applyAlignment="1">
      <alignment horizontal="left" vertical="top"/>
    </xf>
    <xf numFmtId="177" fontId="40" fillId="0" borderId="1" xfId="1" applyNumberFormat="1" applyFont="1" applyAlignment="1">
      <alignment horizontal="right" vertical="top" wrapText="1"/>
    </xf>
    <xf numFmtId="177" fontId="40" fillId="0" borderId="14" xfId="1" applyNumberFormat="1" applyFont="1" applyBorder="1" applyAlignment="1">
      <alignment horizontal="right" vertical="top" wrapText="1"/>
    </xf>
    <xf numFmtId="184" fontId="45" fillId="0" borderId="37" xfId="2" applyNumberFormat="1" applyFont="1" applyBorder="1"/>
    <xf numFmtId="177" fontId="21" fillId="0" borderId="1" xfId="6" applyNumberFormat="1" applyFont="1"/>
    <xf numFmtId="177" fontId="20" fillId="0" borderId="1" xfId="6" applyNumberFormat="1" applyFont="1"/>
    <xf numFmtId="177" fontId="46" fillId="0" borderId="1" xfId="6" applyNumberFormat="1" applyFont="1"/>
    <xf numFmtId="184" fontId="34" fillId="0" borderId="1" xfId="1" applyNumberFormat="1" applyFont="1"/>
    <xf numFmtId="177" fontId="40" fillId="0" borderId="14" xfId="2" applyNumberFormat="1" applyFont="1" applyBorder="1" applyAlignment="1">
      <alignment horizontal="left" vertical="top"/>
    </xf>
    <xf numFmtId="184" fontId="34" fillId="0" borderId="14" xfId="1" applyNumberFormat="1" applyFont="1" applyBorder="1"/>
    <xf numFmtId="184" fontId="21" fillId="0" borderId="1" xfId="2" applyNumberFormat="1" applyFont="1"/>
    <xf numFmtId="0" fontId="36" fillId="7" borderId="1" xfId="2" applyFont="1" applyFill="1"/>
    <xf numFmtId="0" fontId="23" fillId="7" borderId="1" xfId="3" applyFont="1" applyFill="1" applyAlignment="1"/>
    <xf numFmtId="39" fontId="47" fillId="7" borderId="1" xfId="3" applyNumberFormat="1" applyFont="1" applyFill="1" applyAlignment="1"/>
    <xf numFmtId="39" fontId="23" fillId="7" borderId="1" xfId="3" applyNumberFormat="1" applyFont="1" applyFill="1" applyAlignment="1"/>
    <xf numFmtId="39" fontId="5" fillId="7" borderId="1" xfId="1" applyNumberFormat="1" applyFill="1"/>
    <xf numFmtId="0" fontId="37" fillId="0" borderId="1" xfId="2" applyFont="1"/>
    <xf numFmtId="0" fontId="23" fillId="0" borderId="1" xfId="3" applyFont="1" applyAlignment="1"/>
    <xf numFmtId="39" fontId="47" fillId="0" borderId="1" xfId="3" applyNumberFormat="1" applyFont="1" applyAlignment="1"/>
    <xf numFmtId="39" fontId="23" fillId="0" borderId="1" xfId="3" applyNumberFormat="1" applyFont="1" applyAlignment="1"/>
    <xf numFmtId="0" fontId="24" fillId="10" borderId="1" xfId="2" applyFont="1" applyFill="1" applyAlignment="1">
      <alignment wrapText="1"/>
    </xf>
    <xf numFmtId="0" fontId="29" fillId="0" borderId="1" xfId="2" applyFont="1" applyAlignment="1">
      <alignment horizontal="left" vertical="top"/>
    </xf>
    <xf numFmtId="182" fontId="25" fillId="0" borderId="1" xfId="2" applyNumberFormat="1" applyFont="1" applyAlignment="1">
      <alignment horizontal="right" vertical="top" wrapText="1"/>
    </xf>
    <xf numFmtId="182" fontId="40" fillId="0" borderId="1" xfId="2" applyNumberFormat="1" applyFont="1" applyAlignment="1">
      <alignment horizontal="right" vertical="top" wrapText="1"/>
    </xf>
    <xf numFmtId="182" fontId="40" fillId="0" borderId="1" xfId="2" applyNumberFormat="1" applyFont="1" applyAlignment="1">
      <alignment horizontal="left" vertical="top"/>
    </xf>
    <xf numFmtId="184" fontId="30" fillId="0" borderId="1" xfId="1" applyNumberFormat="1" applyFont="1"/>
    <xf numFmtId="182" fontId="40" fillId="0" borderId="14" xfId="2" applyNumberFormat="1" applyFont="1" applyBorder="1" applyAlignment="1">
      <alignment horizontal="right" vertical="top" wrapText="1"/>
    </xf>
    <xf numFmtId="184" fontId="30" fillId="0" borderId="36" xfId="2" applyNumberFormat="1" applyFont="1" applyBorder="1"/>
    <xf numFmtId="182" fontId="40" fillId="0" borderId="14" xfId="2" applyNumberFormat="1" applyFont="1" applyBorder="1" applyAlignment="1">
      <alignment horizontal="left" vertical="top"/>
    </xf>
    <xf numFmtId="184" fontId="42" fillId="0" borderId="14" xfId="2" applyNumberFormat="1" applyFont="1" applyBorder="1"/>
    <xf numFmtId="0" fontId="48" fillId="0" borderId="0" xfId="0" applyFont="1"/>
    <xf numFmtId="0" fontId="33" fillId="0" borderId="0" xfId="0" applyFont="1"/>
    <xf numFmtId="0" fontId="38" fillId="0" borderId="0" xfId="0" applyFont="1"/>
    <xf numFmtId="0" fontId="3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51" fillId="9" borderId="5" xfId="0" applyFont="1" applyFill="1" applyBorder="1" applyAlignment="1">
      <alignment horizontal="left"/>
    </xf>
    <xf numFmtId="0" fontId="19" fillId="9" borderId="6" xfId="0" applyFont="1" applyFill="1" applyBorder="1"/>
    <xf numFmtId="0" fontId="52" fillId="0" borderId="4" xfId="0" applyFont="1" applyBorder="1" applyAlignment="1">
      <alignment horizontal="left"/>
    </xf>
    <xf numFmtId="167" fontId="53" fillId="0" borderId="0" xfId="0" applyNumberFormat="1" applyFont="1"/>
    <xf numFmtId="168" fontId="52" fillId="2" borderId="1" xfId="0" applyNumberFormat="1" applyFont="1" applyFill="1" applyBorder="1"/>
    <xf numFmtId="168" fontId="52" fillId="2" borderId="7" xfId="0" applyNumberFormat="1" applyFont="1" applyFill="1" applyBorder="1"/>
    <xf numFmtId="0" fontId="13" fillId="0" borderId="4" xfId="0" applyFont="1" applyBorder="1" applyAlignment="1">
      <alignment horizontal="left"/>
    </xf>
    <xf numFmtId="0" fontId="52" fillId="0" borderId="0" xfId="0" applyFont="1"/>
    <xf numFmtId="168" fontId="54" fillId="2" borderId="1" xfId="0" applyNumberFormat="1" applyFont="1" applyFill="1" applyBorder="1"/>
    <xf numFmtId="0" fontId="13" fillId="0" borderId="8" xfId="0" applyFont="1" applyBorder="1" applyAlignment="1">
      <alignment horizontal="left"/>
    </xf>
    <xf numFmtId="0" fontId="13" fillId="0" borderId="9" xfId="0" applyFont="1" applyBorder="1"/>
    <xf numFmtId="168" fontId="54" fillId="2" borderId="9" xfId="0" applyNumberFormat="1" applyFont="1" applyFill="1" applyBorder="1"/>
    <xf numFmtId="0" fontId="13" fillId="0" borderId="0" xfId="0" applyFont="1" applyAlignment="1">
      <alignment horizontal="left"/>
    </xf>
    <xf numFmtId="10" fontId="33" fillId="0" borderId="0" xfId="0" applyNumberFormat="1" applyFont="1"/>
    <xf numFmtId="165" fontId="51" fillId="9" borderId="6" xfId="0" applyNumberFormat="1" applyFont="1" applyFill="1" applyBorder="1"/>
    <xf numFmtId="167" fontId="51" fillId="9" borderId="6" xfId="0" applyNumberFormat="1" applyFont="1" applyFill="1" applyBorder="1"/>
    <xf numFmtId="10" fontId="52" fillId="2" borderId="1" xfId="0" applyNumberFormat="1" applyFont="1" applyFill="1" applyBorder="1"/>
    <xf numFmtId="10" fontId="55" fillId="2" borderId="1" xfId="0" applyNumberFormat="1" applyFont="1" applyFill="1" applyBorder="1"/>
    <xf numFmtId="9" fontId="54" fillId="2" borderId="10" xfId="0" applyNumberFormat="1" applyFont="1" applyFill="1" applyBorder="1"/>
    <xf numFmtId="9" fontId="54" fillId="2" borderId="2" xfId="0" applyNumberFormat="1" applyFont="1" applyFill="1" applyBorder="1"/>
    <xf numFmtId="10" fontId="54" fillId="2" borderId="2" xfId="0" applyNumberFormat="1" applyFont="1" applyFill="1" applyBorder="1"/>
    <xf numFmtId="2" fontId="52" fillId="2" borderId="1" xfId="0" applyNumberFormat="1" applyFont="1" applyFill="1" applyBorder="1"/>
    <xf numFmtId="2" fontId="54" fillId="2" borderId="2" xfId="0" applyNumberFormat="1" applyFont="1" applyFill="1" applyBorder="1"/>
    <xf numFmtId="2" fontId="54" fillId="2" borderId="10" xfId="0" applyNumberFormat="1" applyFont="1" applyFill="1" applyBorder="1"/>
    <xf numFmtId="10" fontId="54" fillId="2" borderId="10" xfId="0" applyNumberFormat="1" applyFont="1" applyFill="1" applyBorder="1"/>
    <xf numFmtId="2" fontId="33" fillId="2" borderId="1" xfId="0" applyNumberFormat="1" applyFont="1" applyFill="1" applyBorder="1"/>
    <xf numFmtId="10" fontId="52" fillId="2" borderId="7" xfId="0" applyNumberFormat="1" applyFont="1" applyFill="1" applyBorder="1"/>
    <xf numFmtId="10" fontId="54" fillId="2" borderId="1" xfId="0" applyNumberFormat="1" applyFont="1" applyFill="1" applyBorder="1"/>
    <xf numFmtId="10" fontId="52" fillId="8" borderId="6" xfId="0" applyNumberFormat="1" applyFont="1" applyFill="1" applyBorder="1"/>
    <xf numFmtId="10" fontId="52" fillId="8" borderId="11" xfId="0" applyNumberFormat="1" applyFont="1" applyFill="1" applyBorder="1"/>
    <xf numFmtId="167" fontId="51" fillId="9" borderId="11" xfId="0" applyNumberFormat="1" applyFont="1" applyFill="1" applyBorder="1"/>
    <xf numFmtId="0" fontId="12" fillId="0" borderId="0" xfId="0" applyFont="1" applyAlignment="1">
      <alignment vertical="center"/>
    </xf>
    <xf numFmtId="0" fontId="15" fillId="0" borderId="15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58" fillId="0" borderId="0" xfId="0" applyFont="1"/>
    <xf numFmtId="0" fontId="59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9" fontId="59" fillId="0" borderId="0" xfId="0" applyNumberFormat="1" applyFont="1" applyAlignment="1">
      <alignment vertical="center"/>
    </xf>
    <xf numFmtId="0" fontId="64" fillId="6" borderId="26" xfId="0" applyFont="1" applyFill="1" applyBorder="1" applyAlignment="1">
      <alignment vertical="center"/>
    </xf>
    <xf numFmtId="0" fontId="59" fillId="0" borderId="17" xfId="0" applyFont="1" applyBorder="1" applyAlignment="1">
      <alignment vertical="center"/>
    </xf>
    <xf numFmtId="0" fontId="59" fillId="0" borderId="16" xfId="0" applyFont="1" applyBorder="1" applyAlignment="1">
      <alignment vertical="center"/>
    </xf>
    <xf numFmtId="172" fontId="59" fillId="0" borderId="19" xfId="0" applyNumberFormat="1" applyFont="1" applyBorder="1" applyAlignment="1">
      <alignment vertical="center"/>
    </xf>
    <xf numFmtId="173" fontId="61" fillId="0" borderId="0" xfId="0" applyNumberFormat="1" applyFont="1" applyAlignment="1">
      <alignment vertical="center"/>
    </xf>
    <xf numFmtId="0" fontId="59" fillId="0" borderId="18" xfId="0" applyFont="1" applyBorder="1" applyAlignment="1">
      <alignment vertical="center"/>
    </xf>
    <xf numFmtId="0" fontId="59" fillId="0" borderId="14" xfId="0" applyFont="1" applyBorder="1" applyAlignment="1">
      <alignment vertical="center"/>
    </xf>
    <xf numFmtId="173" fontId="59" fillId="0" borderId="20" xfId="0" applyNumberFormat="1" applyFont="1" applyBorder="1" applyAlignment="1">
      <alignment vertical="center"/>
    </xf>
    <xf numFmtId="0" fontId="64" fillId="6" borderId="18" xfId="0" applyFont="1" applyFill="1" applyBorder="1" applyAlignment="1">
      <alignment vertical="center"/>
    </xf>
    <xf numFmtId="0" fontId="64" fillId="6" borderId="14" xfId="0" applyFont="1" applyFill="1" applyBorder="1" applyAlignment="1">
      <alignment vertical="center"/>
    </xf>
    <xf numFmtId="172" fontId="64" fillId="6" borderId="20" xfId="0" applyNumberFormat="1" applyFont="1" applyFill="1" applyBorder="1" applyAlignment="1">
      <alignment vertical="center"/>
    </xf>
    <xf numFmtId="172" fontId="59" fillId="0" borderId="0" xfId="0" applyNumberFormat="1" applyFont="1" applyAlignment="1">
      <alignment vertical="center"/>
    </xf>
    <xf numFmtId="0" fontId="59" fillId="0" borderId="15" xfId="0" applyFont="1" applyBorder="1" applyAlignment="1">
      <alignment vertical="center"/>
    </xf>
    <xf numFmtId="2" fontId="59" fillId="0" borderId="12" xfId="0" applyNumberFormat="1" applyFont="1" applyBorder="1" applyAlignment="1">
      <alignment vertical="center"/>
    </xf>
    <xf numFmtId="172" fontId="59" fillId="0" borderId="12" xfId="0" applyNumberFormat="1" applyFont="1" applyBorder="1" applyAlignment="1">
      <alignment vertical="center"/>
    </xf>
    <xf numFmtId="0" fontId="64" fillId="6" borderId="21" xfId="0" applyFont="1" applyFill="1" applyBorder="1" applyAlignment="1">
      <alignment vertical="center"/>
    </xf>
    <xf numFmtId="172" fontId="64" fillId="6" borderId="22" xfId="0" applyNumberFormat="1" applyFont="1" applyFill="1" applyBorder="1" applyAlignment="1">
      <alignment vertical="center"/>
    </xf>
    <xf numFmtId="0" fontId="64" fillId="0" borderId="0" xfId="0" applyFont="1" applyAlignment="1">
      <alignment vertical="center"/>
    </xf>
    <xf numFmtId="173" fontId="59" fillId="0" borderId="0" xfId="0" applyNumberFormat="1" applyFont="1" applyAlignment="1">
      <alignment vertical="center"/>
    </xf>
    <xf numFmtId="9" fontId="61" fillId="0" borderId="14" xfId="0" applyNumberFormat="1" applyFont="1" applyBorder="1" applyAlignment="1">
      <alignment vertical="center"/>
    </xf>
    <xf numFmtId="9" fontId="61" fillId="0" borderId="0" xfId="0" applyNumberFormat="1" applyFont="1" applyAlignment="1">
      <alignment vertical="center"/>
    </xf>
    <xf numFmtId="173" fontId="59" fillId="0" borderId="0" xfId="0" applyNumberFormat="1" applyFont="1" applyAlignment="1">
      <alignment horizontal="center" vertical="center"/>
    </xf>
    <xf numFmtId="2" fontId="59" fillId="0" borderId="0" xfId="0" applyNumberFormat="1" applyFont="1" applyAlignment="1">
      <alignment vertical="center"/>
    </xf>
    <xf numFmtId="0" fontId="64" fillId="0" borderId="23" xfId="0" applyFont="1" applyBorder="1" applyAlignment="1">
      <alignment vertical="center"/>
    </xf>
    <xf numFmtId="0" fontId="64" fillId="0" borderId="24" xfId="0" applyFont="1" applyBorder="1" applyAlignment="1">
      <alignment vertical="center"/>
    </xf>
    <xf numFmtId="2" fontId="64" fillId="0" borderId="25" xfId="0" applyNumberFormat="1" applyFont="1" applyBorder="1" applyAlignment="1">
      <alignment horizontal="left" vertical="center"/>
    </xf>
    <xf numFmtId="0" fontId="12" fillId="0" borderId="17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4" fontId="57" fillId="0" borderId="12" xfId="0" applyNumberFormat="1" applyFont="1" applyBorder="1"/>
    <xf numFmtId="0" fontId="13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10" fontId="57" fillId="0" borderId="19" xfId="0" applyNumberFormat="1" applyFont="1" applyBorder="1"/>
    <xf numFmtId="0" fontId="67" fillId="0" borderId="0" xfId="0" applyFont="1" applyAlignment="1">
      <alignment vertical="center"/>
    </xf>
    <xf numFmtId="10" fontId="57" fillId="0" borderId="12" xfId="0" applyNumberFormat="1" applyFont="1" applyBorder="1"/>
    <xf numFmtId="0" fontId="12" fillId="0" borderId="18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11" fontId="12" fillId="0" borderId="17" xfId="0" applyNumberFormat="1" applyFont="1" applyBorder="1" applyAlignment="1">
      <alignment vertical="center"/>
    </xf>
    <xf numFmtId="11" fontId="12" fillId="0" borderId="16" xfId="0" applyNumberFormat="1" applyFont="1" applyBorder="1" applyAlignment="1">
      <alignment vertical="center"/>
    </xf>
    <xf numFmtId="11" fontId="12" fillId="0" borderId="15" xfId="0" applyNumberFormat="1" applyFont="1" applyBorder="1" applyAlignment="1">
      <alignment vertical="center"/>
    </xf>
    <xf numFmtId="11" fontId="12" fillId="0" borderId="0" xfId="0" applyNumberFormat="1" applyFont="1" applyAlignment="1">
      <alignment vertical="center"/>
    </xf>
    <xf numFmtId="10" fontId="57" fillId="0" borderId="0" xfId="0" applyNumberFormat="1" applyFont="1"/>
    <xf numFmtId="0" fontId="48" fillId="13" borderId="0" xfId="0" applyFont="1" applyFill="1"/>
    <xf numFmtId="0" fontId="13" fillId="13" borderId="0" xfId="0" applyFont="1" applyFill="1"/>
    <xf numFmtId="0" fontId="49" fillId="13" borderId="0" xfId="0" applyFont="1" applyFill="1"/>
    <xf numFmtId="0" fontId="50" fillId="13" borderId="0" xfId="0" applyFont="1" applyFill="1"/>
    <xf numFmtId="0" fontId="33" fillId="13" borderId="0" xfId="0" applyFont="1" applyFill="1"/>
    <xf numFmtId="0" fontId="38" fillId="13" borderId="0" xfId="0" applyFont="1" applyFill="1"/>
    <xf numFmtId="0" fontId="38" fillId="13" borderId="14" xfId="0" applyFont="1" applyFill="1" applyBorder="1" applyAlignment="1">
      <alignment horizontal="center"/>
    </xf>
    <xf numFmtId="0" fontId="38" fillId="13" borderId="0" xfId="0" applyFont="1" applyFill="1" applyAlignment="1">
      <alignment horizontal="center"/>
    </xf>
    <xf numFmtId="0" fontId="58" fillId="13" borderId="0" xfId="0" applyFont="1" applyFill="1"/>
    <xf numFmtId="0" fontId="59" fillId="13" borderId="0" xfId="0" applyFont="1" applyFill="1" applyAlignment="1">
      <alignment vertical="center"/>
    </xf>
    <xf numFmtId="0" fontId="60" fillId="13" borderId="0" xfId="0" applyFont="1" applyFill="1" applyAlignment="1">
      <alignment vertical="center"/>
    </xf>
    <xf numFmtId="0" fontId="61" fillId="13" borderId="0" xfId="0" applyFont="1" applyFill="1" applyAlignment="1">
      <alignment vertical="center"/>
    </xf>
    <xf numFmtId="14" fontId="61" fillId="13" borderId="0" xfId="0" applyNumberFormat="1" applyFont="1" applyFill="1" applyAlignment="1">
      <alignment vertical="center"/>
    </xf>
    <xf numFmtId="0" fontId="12" fillId="13" borderId="0" xfId="0" applyFont="1" applyFill="1" applyAlignment="1">
      <alignment vertical="center" wrapText="1"/>
    </xf>
    <xf numFmtId="0" fontId="12" fillId="13" borderId="0" xfId="0" applyFont="1" applyFill="1" applyAlignment="1">
      <alignment vertical="center"/>
    </xf>
    <xf numFmtId="0" fontId="49" fillId="13" borderId="0" xfId="0" applyFont="1" applyFill="1" applyAlignment="1">
      <alignment vertical="center"/>
    </xf>
    <xf numFmtId="0" fontId="16" fillId="13" borderId="0" xfId="0" applyFont="1" applyFill="1" applyAlignment="1">
      <alignment vertical="center"/>
    </xf>
    <xf numFmtId="172" fontId="59" fillId="10" borderId="12" xfId="0" applyNumberFormat="1" applyFont="1" applyFill="1" applyBorder="1" applyAlignment="1">
      <alignment vertical="center"/>
    </xf>
    <xf numFmtId="177" fontId="5" fillId="0" borderId="1" xfId="1" applyNumberFormat="1"/>
    <xf numFmtId="184" fontId="40" fillId="0" borderId="34" xfId="2" applyNumberFormat="1" applyFont="1" applyBorder="1" applyAlignment="1">
      <alignment horizontal="right" vertical="top" wrapText="1"/>
    </xf>
    <xf numFmtId="0" fontId="4" fillId="0" borderId="1" xfId="1" applyFont="1"/>
    <xf numFmtId="10" fontId="68" fillId="15" borderId="26" xfId="0" applyNumberFormat="1" applyFont="1" applyFill="1" applyBorder="1" applyAlignment="1">
      <alignment horizontal="center" vertical="center"/>
    </xf>
    <xf numFmtId="175" fontId="68" fillId="15" borderId="26" xfId="0" applyNumberFormat="1" applyFont="1" applyFill="1" applyBorder="1" applyAlignment="1">
      <alignment horizontal="center" vertical="center"/>
    </xf>
    <xf numFmtId="164" fontId="69" fillId="15" borderId="17" xfId="0" applyNumberFormat="1" applyFont="1" applyFill="1" applyBorder="1" applyAlignment="1">
      <alignment vertical="center"/>
    </xf>
    <xf numFmtId="176" fontId="57" fillId="0" borderId="39" xfId="0" applyNumberFormat="1" applyFont="1" applyBorder="1"/>
    <xf numFmtId="4" fontId="57" fillId="0" borderId="39" xfId="0" applyNumberFormat="1" applyFont="1" applyBorder="1"/>
    <xf numFmtId="4" fontId="57" fillId="0" borderId="39" xfId="0" applyNumberFormat="1" applyFont="1" applyBorder="1" applyAlignment="1">
      <alignment horizontal="center"/>
    </xf>
    <xf numFmtId="4" fontId="57" fillId="0" borderId="38" xfId="0" applyNumberFormat="1" applyFont="1" applyBorder="1"/>
    <xf numFmtId="0" fontId="56" fillId="15" borderId="21" xfId="0" applyFont="1" applyFill="1" applyBorder="1" applyAlignment="1">
      <alignment horizontal="left" vertical="center"/>
    </xf>
    <xf numFmtId="0" fontId="56" fillId="15" borderId="26" xfId="0" applyFont="1" applyFill="1" applyBorder="1" applyAlignment="1">
      <alignment horizontal="center" vertical="center"/>
    </xf>
    <xf numFmtId="0" fontId="56" fillId="15" borderId="22" xfId="0" applyFont="1" applyFill="1" applyBorder="1" applyAlignment="1">
      <alignment horizontal="center" vertical="center"/>
    </xf>
    <xf numFmtId="0" fontId="56" fillId="16" borderId="21" xfId="0" applyFont="1" applyFill="1" applyBorder="1" applyAlignment="1">
      <alignment vertical="center"/>
    </xf>
    <xf numFmtId="0" fontId="56" fillId="16" borderId="26" xfId="0" applyFont="1" applyFill="1" applyBorder="1" applyAlignment="1">
      <alignment vertical="center"/>
    </xf>
    <xf numFmtId="0" fontId="56" fillId="16" borderId="22" xfId="0" applyFont="1" applyFill="1" applyBorder="1"/>
    <xf numFmtId="10" fontId="56" fillId="16" borderId="22" xfId="0" applyNumberFormat="1" applyFont="1" applyFill="1" applyBorder="1"/>
    <xf numFmtId="11" fontId="56" fillId="16" borderId="21" xfId="0" applyNumberFormat="1" applyFont="1" applyFill="1" applyBorder="1" applyAlignment="1">
      <alignment vertical="center"/>
    </xf>
    <xf numFmtId="11" fontId="56" fillId="16" borderId="26" xfId="0" applyNumberFormat="1" applyFont="1" applyFill="1" applyBorder="1" applyAlignment="1">
      <alignment vertical="center"/>
    </xf>
    <xf numFmtId="10" fontId="56" fillId="16" borderId="26" xfId="0" applyNumberFormat="1" applyFont="1" applyFill="1" applyBorder="1"/>
    <xf numFmtId="0" fontId="71" fillId="16" borderId="26" xfId="0" applyFont="1" applyFill="1" applyBorder="1" applyAlignment="1">
      <alignment vertical="center"/>
    </xf>
    <xf numFmtId="172" fontId="71" fillId="16" borderId="26" xfId="0" applyNumberFormat="1" applyFont="1" applyFill="1" applyBorder="1" applyAlignment="1">
      <alignment vertical="center"/>
    </xf>
    <xf numFmtId="185" fontId="71" fillId="16" borderId="26" xfId="0" applyNumberFormat="1" applyFont="1" applyFill="1" applyBorder="1" applyAlignment="1">
      <alignment vertical="center"/>
    </xf>
    <xf numFmtId="0" fontId="71" fillId="16" borderId="14" xfId="0" applyFont="1" applyFill="1" applyBorder="1" applyAlignment="1">
      <alignment vertical="center"/>
    </xf>
    <xf numFmtId="0" fontId="71" fillId="15" borderId="21" xfId="0" applyFont="1" applyFill="1" applyBorder="1" applyAlignment="1">
      <alignment vertical="center"/>
    </xf>
    <xf numFmtId="0" fontId="71" fillId="15" borderId="26" xfId="0" applyFont="1" applyFill="1" applyBorder="1" applyAlignment="1">
      <alignment vertical="center"/>
    </xf>
    <xf numFmtId="0" fontId="71" fillId="15" borderId="26" xfId="0" applyFont="1" applyFill="1" applyBorder="1" applyAlignment="1">
      <alignment horizontal="right" vertical="center"/>
    </xf>
    <xf numFmtId="171" fontId="71" fillId="15" borderId="26" xfId="0" applyNumberFormat="1" applyFont="1" applyFill="1" applyBorder="1" applyAlignment="1">
      <alignment vertical="center"/>
    </xf>
    <xf numFmtId="171" fontId="71" fillId="15" borderId="22" xfId="0" applyNumberFormat="1" applyFont="1" applyFill="1" applyBorder="1" applyAlignment="1">
      <alignment vertical="center"/>
    </xf>
    <xf numFmtId="0" fontId="0" fillId="0" borderId="1" xfId="1" applyFont="1"/>
    <xf numFmtId="177" fontId="25" fillId="0" borderId="36" xfId="1" applyNumberFormat="1" applyFont="1" applyBorder="1" applyAlignment="1">
      <alignment horizontal="right" vertical="top" wrapText="1"/>
    </xf>
    <xf numFmtId="172" fontId="66" fillId="0" borderId="0" xfId="0" applyNumberFormat="1" applyFont="1" applyAlignment="1">
      <alignment vertical="center"/>
    </xf>
    <xf numFmtId="0" fontId="20" fillId="0" borderId="1" xfId="1" applyFont="1" applyAlignment="1">
      <alignment horizontal="left" indent="1"/>
    </xf>
    <xf numFmtId="39" fontId="29" fillId="0" borderId="1" xfId="1" applyNumberFormat="1" applyFont="1" applyAlignment="1">
      <alignment horizontal="right"/>
    </xf>
    <xf numFmtId="39" fontId="39" fillId="0" borderId="1" xfId="1" applyNumberFormat="1" applyFont="1" applyAlignment="1">
      <alignment horizontal="right"/>
    </xf>
    <xf numFmtId="39" fontId="39" fillId="0" borderId="1" xfId="2" applyNumberFormat="1" applyFont="1"/>
    <xf numFmtId="183" fontId="32" fillId="0" borderId="1" xfId="5" applyNumberFormat="1" applyFont="1" applyFill="1" applyAlignment="1">
      <alignment horizontal="right"/>
    </xf>
    <xf numFmtId="183" fontId="30" fillId="0" borderId="1" xfId="5" applyNumberFormat="1" applyFont="1" applyFill="1" applyAlignment="1">
      <alignment horizontal="right"/>
    </xf>
    <xf numFmtId="9" fontId="54" fillId="17" borderId="2" xfId="0" applyNumberFormat="1" applyFont="1" applyFill="1" applyBorder="1"/>
    <xf numFmtId="9" fontId="59" fillId="0" borderId="0" xfId="7" applyFont="1" applyAlignment="1">
      <alignment vertical="center"/>
    </xf>
    <xf numFmtId="2" fontId="30" fillId="0" borderId="1" xfId="5" applyNumberFormat="1" applyFont="1" applyFill="1" applyAlignment="1">
      <alignment horizontal="right"/>
    </xf>
    <xf numFmtId="173" fontId="59" fillId="0" borderId="2" xfId="0" applyNumberFormat="1" applyFont="1" applyBorder="1" applyAlignment="1">
      <alignment horizontal="center" vertical="center"/>
    </xf>
    <xf numFmtId="0" fontId="4" fillId="0" borderId="0" xfId="0" applyFont="1"/>
    <xf numFmtId="182" fontId="38" fillId="0" borderId="1" xfId="2" applyNumberFormat="1" applyFont="1" applyAlignment="1">
      <alignment horizontal="right" vertical="top" wrapText="1"/>
    </xf>
    <xf numFmtId="0" fontId="51" fillId="9" borderId="27" xfId="0" applyFont="1" applyFill="1" applyBorder="1" applyAlignment="1">
      <alignment horizontal="left"/>
    </xf>
    <xf numFmtId="0" fontId="19" fillId="9" borderId="28" xfId="0" applyFont="1" applyFill="1" applyBorder="1"/>
    <xf numFmtId="166" fontId="51" fillId="9" borderId="28" xfId="0" applyNumberFormat="1" applyFont="1" applyFill="1" applyBorder="1"/>
    <xf numFmtId="166" fontId="51" fillId="9" borderId="29" xfId="0" applyNumberFormat="1" applyFont="1" applyFill="1" applyBorder="1"/>
    <xf numFmtId="0" fontId="52" fillId="0" borderId="30" xfId="0" applyFont="1" applyBorder="1" applyAlignment="1">
      <alignment horizontal="left"/>
    </xf>
    <xf numFmtId="167" fontId="53" fillId="0" borderId="31" xfId="0" applyNumberFormat="1" applyFont="1" applyBorder="1"/>
    <xf numFmtId="168" fontId="52" fillId="2" borderId="31" xfId="0" applyNumberFormat="1" applyFont="1" applyFill="1" applyBorder="1"/>
    <xf numFmtId="0" fontId="13" fillId="0" borderId="1" xfId="0" applyFont="1" applyBorder="1"/>
    <xf numFmtId="175" fontId="68" fillId="15" borderId="3" xfId="0" applyNumberFormat="1" applyFont="1" applyFill="1" applyBorder="1" applyAlignment="1">
      <alignment vertical="center"/>
    </xf>
    <xf numFmtId="0" fontId="73" fillId="0" borderId="1" xfId="1" applyFont="1"/>
    <xf numFmtId="0" fontId="14" fillId="0" borderId="1" xfId="0" applyFont="1" applyBorder="1"/>
    <xf numFmtId="9" fontId="4" fillId="0" borderId="1" xfId="7" applyFont="1" applyBorder="1"/>
    <xf numFmtId="0" fontId="15" fillId="0" borderId="0" xfId="0" applyFont="1" applyAlignment="1">
      <alignment vertical="center"/>
    </xf>
    <xf numFmtId="0" fontId="15" fillId="0" borderId="12" xfId="0" applyFont="1" applyBorder="1"/>
    <xf numFmtId="0" fontId="33" fillId="0" borderId="1" xfId="0" applyFont="1" applyBorder="1"/>
    <xf numFmtId="0" fontId="32" fillId="0" borderId="1" xfId="2" applyFont="1" applyAlignment="1">
      <alignment horizontal="left" vertical="top"/>
    </xf>
    <xf numFmtId="39" fontId="30" fillId="0" borderId="1" xfId="1" applyNumberFormat="1" applyFont="1" applyAlignment="1">
      <alignment horizontal="right"/>
    </xf>
    <xf numFmtId="39" fontId="29" fillId="0" borderId="36" xfId="1" applyNumberFormat="1" applyFont="1" applyBorder="1" applyAlignment="1">
      <alignment horizontal="right"/>
    </xf>
    <xf numFmtId="39" fontId="32" fillId="0" borderId="1" xfId="1" applyNumberFormat="1" applyFont="1" applyAlignment="1">
      <alignment horizontal="right"/>
    </xf>
    <xf numFmtId="0" fontId="2" fillId="0" borderId="1" xfId="1" applyFont="1"/>
    <xf numFmtId="39" fontId="33" fillId="0" borderId="34" xfId="1" applyNumberFormat="1" applyFont="1" applyBorder="1"/>
    <xf numFmtId="0" fontId="33" fillId="0" borderId="1" xfId="0" applyFont="1" applyBorder="1" applyAlignment="1">
      <alignment wrapText="1"/>
    </xf>
    <xf numFmtId="9" fontId="51" fillId="9" borderId="6" xfId="7" applyFont="1" applyFill="1" applyBorder="1"/>
    <xf numFmtId="0" fontId="1" fillId="0" borderId="1" xfId="1" applyFont="1"/>
    <xf numFmtId="176" fontId="57" fillId="0" borderId="12" xfId="0" applyNumberFormat="1" applyFont="1" applyBorder="1"/>
    <xf numFmtId="0" fontId="58" fillId="0" borderId="41" xfId="0" applyFont="1" applyBorder="1"/>
    <xf numFmtId="0" fontId="58" fillId="0" borderId="40" xfId="0" applyFont="1" applyBorder="1"/>
    <xf numFmtId="186" fontId="64" fillId="6" borderId="22" xfId="0" applyNumberFormat="1" applyFont="1" applyFill="1" applyBorder="1" applyAlignment="1">
      <alignment vertical="center"/>
    </xf>
    <xf numFmtId="0" fontId="62" fillId="0" borderId="1" xfId="0" applyFont="1" applyBorder="1" applyAlignment="1">
      <alignment vertical="center"/>
    </xf>
    <xf numFmtId="0" fontId="63" fillId="0" borderId="1" xfId="0" applyFont="1" applyBorder="1"/>
    <xf numFmtId="0" fontId="59" fillId="0" borderId="1" xfId="0" applyFont="1" applyBorder="1" applyAlignment="1">
      <alignment vertical="center"/>
    </xf>
    <xf numFmtId="0" fontId="64" fillId="0" borderId="1" xfId="0" applyFont="1" applyBorder="1" applyAlignment="1">
      <alignment vertical="center"/>
    </xf>
    <xf numFmtId="0" fontId="61" fillId="0" borderId="1" xfId="0" applyFont="1" applyBorder="1" applyAlignment="1">
      <alignment vertical="center"/>
    </xf>
    <xf numFmtId="174" fontId="64" fillId="0" borderId="1" xfId="0" applyNumberFormat="1" applyFont="1" applyBorder="1" applyAlignment="1">
      <alignment vertical="center"/>
    </xf>
    <xf numFmtId="0" fontId="58" fillId="0" borderId="1" xfId="0" applyFont="1" applyBorder="1"/>
    <xf numFmtId="173" fontId="59" fillId="0" borderId="1" xfId="0" applyNumberFormat="1" applyFont="1" applyBorder="1" applyAlignment="1">
      <alignment vertical="center"/>
    </xf>
    <xf numFmtId="0" fontId="61" fillId="0" borderId="42" xfId="0" applyFont="1" applyBorder="1" applyAlignment="1">
      <alignment vertical="center"/>
    </xf>
    <xf numFmtId="0" fontId="61" fillId="0" borderId="43" xfId="0" applyFont="1" applyBorder="1" applyAlignment="1">
      <alignment vertical="center"/>
    </xf>
    <xf numFmtId="10" fontId="61" fillId="0" borderId="44" xfId="0" applyNumberFormat="1" applyFont="1" applyBorder="1" applyAlignment="1">
      <alignment vertical="center"/>
    </xf>
    <xf numFmtId="0" fontId="65" fillId="10" borderId="12" xfId="0" applyFont="1" applyFill="1" applyBorder="1"/>
    <xf numFmtId="0" fontId="71" fillId="14" borderId="26" xfId="0" applyFont="1" applyFill="1" applyBorder="1" applyAlignment="1">
      <alignment horizontal="right" vertical="center"/>
    </xf>
    <xf numFmtId="172" fontId="71" fillId="14" borderId="26" xfId="0" applyNumberFormat="1" applyFont="1" applyFill="1" applyBorder="1" applyAlignment="1">
      <alignment vertical="center"/>
    </xf>
    <xf numFmtId="2" fontId="59" fillId="2" borderId="17" xfId="0" applyNumberFormat="1" applyFont="1" applyFill="1" applyBorder="1" applyAlignment="1">
      <alignment horizontal="center" vertical="center"/>
    </xf>
    <xf numFmtId="2" fontId="59" fillId="2" borderId="16" xfId="0" applyNumberFormat="1" applyFont="1" applyFill="1" applyBorder="1" applyAlignment="1">
      <alignment horizontal="center" vertical="center"/>
    </xf>
    <xf numFmtId="2" fontId="59" fillId="2" borderId="19" xfId="0" applyNumberFormat="1" applyFont="1" applyFill="1" applyBorder="1" applyAlignment="1">
      <alignment horizontal="center" vertical="center"/>
    </xf>
    <xf numFmtId="2" fontId="59" fillId="2" borderId="15" xfId="0" applyNumberFormat="1" applyFont="1" applyFill="1" applyBorder="1" applyAlignment="1">
      <alignment horizontal="center" vertical="center"/>
    </xf>
    <xf numFmtId="2" fontId="68" fillId="19" borderId="17" xfId="0" applyNumberFormat="1" applyFont="1" applyFill="1" applyBorder="1" applyAlignment="1">
      <alignment horizontal="center" vertical="center"/>
    </xf>
    <xf numFmtId="2" fontId="68" fillId="19" borderId="16" xfId="0" applyNumberFormat="1" applyFont="1" applyFill="1" applyBorder="1" applyAlignment="1">
      <alignment horizontal="center" vertical="center"/>
    </xf>
    <xf numFmtId="2" fontId="68" fillId="19" borderId="19" xfId="0" applyNumberFormat="1" applyFont="1" applyFill="1" applyBorder="1" applyAlignment="1">
      <alignment horizontal="center" vertical="center"/>
    </xf>
    <xf numFmtId="2" fontId="59" fillId="2" borderId="12" xfId="0" applyNumberFormat="1" applyFont="1" applyFill="1" applyBorder="1" applyAlignment="1">
      <alignment horizontal="center" vertical="center"/>
    </xf>
    <xf numFmtId="2" fontId="68" fillId="19" borderId="15" xfId="0" applyNumberFormat="1" applyFont="1" applyFill="1" applyBorder="1" applyAlignment="1">
      <alignment horizontal="center" vertical="center"/>
    </xf>
    <xf numFmtId="2" fontId="68" fillId="18" borderId="17" xfId="0" applyNumberFormat="1" applyFont="1" applyFill="1" applyBorder="1" applyAlignment="1">
      <alignment horizontal="center" vertical="center"/>
    </xf>
    <xf numFmtId="2" fontId="68" fillId="18" borderId="16" xfId="0" applyNumberFormat="1" applyFont="1" applyFill="1" applyBorder="1" applyAlignment="1">
      <alignment horizontal="center" vertical="center"/>
    </xf>
    <xf numFmtId="2" fontId="68" fillId="18" borderId="19" xfId="0" applyNumberFormat="1" applyFont="1" applyFill="1" applyBorder="1" applyAlignment="1">
      <alignment horizontal="center" vertical="center"/>
    </xf>
    <xf numFmtId="2" fontId="68" fillId="19" borderId="12" xfId="0" applyNumberFormat="1" applyFont="1" applyFill="1" applyBorder="1" applyAlignment="1">
      <alignment horizontal="center" vertical="center"/>
    </xf>
    <xf numFmtId="2" fontId="68" fillId="18" borderId="15" xfId="0" applyNumberFormat="1" applyFont="1" applyFill="1" applyBorder="1" applyAlignment="1">
      <alignment horizontal="center" vertical="center"/>
    </xf>
    <xf numFmtId="2" fontId="68" fillId="16" borderId="2" xfId="0" applyNumberFormat="1" applyFont="1" applyFill="1" applyBorder="1" applyAlignment="1">
      <alignment horizontal="center" vertical="center"/>
    </xf>
    <xf numFmtId="2" fontId="68" fillId="18" borderId="12" xfId="0" applyNumberFormat="1" applyFont="1" applyFill="1" applyBorder="1" applyAlignment="1">
      <alignment horizontal="center" vertical="center"/>
    </xf>
    <xf numFmtId="2" fontId="68" fillId="18" borderId="18" xfId="0" applyNumberFormat="1" applyFont="1" applyFill="1" applyBorder="1" applyAlignment="1">
      <alignment horizontal="center" vertical="center"/>
    </xf>
    <xf numFmtId="2" fontId="68" fillId="18" borderId="14" xfId="0" applyNumberFormat="1" applyFont="1" applyFill="1" applyBorder="1" applyAlignment="1">
      <alignment horizontal="center" vertical="center"/>
    </xf>
    <xf numFmtId="2" fontId="68" fillId="18" borderId="20" xfId="0" applyNumberFormat="1" applyFont="1" applyFill="1" applyBorder="1" applyAlignment="1">
      <alignment horizontal="center" vertical="center"/>
    </xf>
    <xf numFmtId="2" fontId="68" fillId="19" borderId="18" xfId="0" applyNumberFormat="1" applyFont="1" applyFill="1" applyBorder="1" applyAlignment="1">
      <alignment horizontal="center" vertical="center"/>
    </xf>
    <xf numFmtId="2" fontId="68" fillId="19" borderId="14" xfId="0" applyNumberFormat="1" applyFont="1" applyFill="1" applyBorder="1" applyAlignment="1">
      <alignment horizontal="center" vertical="center"/>
    </xf>
    <xf numFmtId="2" fontId="68" fillId="19" borderId="20" xfId="0" applyNumberFormat="1" applyFont="1" applyFill="1" applyBorder="1" applyAlignment="1">
      <alignment horizontal="center" vertical="center"/>
    </xf>
    <xf numFmtId="2" fontId="59" fillId="2" borderId="18" xfId="0" applyNumberFormat="1" applyFont="1" applyFill="1" applyBorder="1" applyAlignment="1">
      <alignment horizontal="center" vertical="center"/>
    </xf>
    <xf numFmtId="2" fontId="59" fillId="2" borderId="14" xfId="0" applyNumberFormat="1" applyFont="1" applyFill="1" applyBorder="1" applyAlignment="1">
      <alignment horizontal="center" vertical="center"/>
    </xf>
    <xf numFmtId="2" fontId="59" fillId="2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vertical="center"/>
    </xf>
    <xf numFmtId="0" fontId="0" fillId="0" borderId="1" xfId="0" applyBorder="1"/>
    <xf numFmtId="0" fontId="74" fillId="15" borderId="21" xfId="0" applyFont="1" applyFill="1" applyBorder="1" applyAlignment="1">
      <alignment horizontal="center" vertical="center"/>
    </xf>
    <xf numFmtId="0" fontId="18" fillId="14" borderId="26" xfId="0" applyFont="1" applyFill="1" applyBorder="1"/>
    <xf numFmtId="0" fontId="18" fillId="14" borderId="22" xfId="0" applyFont="1" applyFill="1" applyBorder="1"/>
    <xf numFmtId="0" fontId="75" fillId="0" borderId="17" xfId="0" applyFont="1" applyBorder="1" applyAlignment="1">
      <alignment vertical="center"/>
    </xf>
    <xf numFmtId="0" fontId="75" fillId="0" borderId="16" xfId="0" applyFont="1" applyBorder="1" applyAlignment="1">
      <alignment vertical="center"/>
    </xf>
    <xf numFmtId="10" fontId="76" fillId="0" borderId="19" xfId="0" applyNumberFormat="1" applyFont="1" applyBorder="1"/>
    <xf numFmtId="0" fontId="18" fillId="0" borderId="21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18" fillId="0" borderId="22" xfId="0" applyFont="1" applyBorder="1"/>
    <xf numFmtId="0" fontId="75" fillId="0" borderId="15" xfId="0" applyFont="1" applyBorder="1" applyAlignment="1">
      <alignment vertical="center"/>
    </xf>
    <xf numFmtId="0" fontId="75" fillId="0" borderId="0" xfId="0" applyFont="1" applyAlignment="1">
      <alignment vertical="center"/>
    </xf>
    <xf numFmtId="10" fontId="76" fillId="0" borderId="12" xfId="0" applyNumberFormat="1" applyFont="1" applyBorder="1"/>
    <xf numFmtId="0" fontId="74" fillId="16" borderId="21" xfId="0" applyFont="1" applyFill="1" applyBorder="1" applyAlignment="1">
      <alignment vertical="center"/>
    </xf>
    <xf numFmtId="0" fontId="74" fillId="16" borderId="26" xfId="0" applyFont="1" applyFill="1" applyBorder="1" applyAlignment="1">
      <alignment vertical="center"/>
    </xf>
    <xf numFmtId="10" fontId="74" fillId="16" borderId="22" xfId="0" applyNumberFormat="1" applyFont="1" applyFill="1" applyBorder="1"/>
    <xf numFmtId="0" fontId="75" fillId="0" borderId="0" xfId="0" applyFont="1"/>
    <xf numFmtId="11" fontId="75" fillId="0" borderId="17" xfId="0" applyNumberFormat="1" applyFont="1" applyBorder="1" applyAlignment="1">
      <alignment vertical="center"/>
    </xf>
    <xf numFmtId="11" fontId="75" fillId="0" borderId="16" xfId="0" applyNumberFormat="1" applyFont="1" applyBorder="1" applyAlignment="1">
      <alignment vertical="center"/>
    </xf>
    <xf numFmtId="11" fontId="75" fillId="0" borderId="15" xfId="0" applyNumberFormat="1" applyFont="1" applyBorder="1" applyAlignment="1">
      <alignment vertical="center"/>
    </xf>
    <xf numFmtId="11" fontId="75" fillId="0" borderId="0" xfId="0" applyNumberFormat="1" applyFont="1" applyAlignment="1">
      <alignment vertical="center"/>
    </xf>
    <xf numFmtId="176" fontId="76" fillId="0" borderId="12" xfId="0" applyNumberFormat="1" applyFont="1" applyBorder="1"/>
    <xf numFmtId="11" fontId="74" fillId="16" borderId="21" xfId="0" applyNumberFormat="1" applyFont="1" applyFill="1" applyBorder="1" applyAlignment="1">
      <alignment vertical="center"/>
    </xf>
    <xf numFmtId="11" fontId="74" fillId="16" borderId="26" xfId="0" applyNumberFormat="1" applyFont="1" applyFill="1" applyBorder="1" applyAlignment="1">
      <alignment vertical="center"/>
    </xf>
    <xf numFmtId="0" fontId="74" fillId="15" borderId="26" xfId="0" applyFont="1" applyFill="1" applyBorder="1" applyAlignment="1">
      <alignment horizontal="left" vertical="center"/>
    </xf>
    <xf numFmtId="0" fontId="74" fillId="15" borderId="26" xfId="0" applyFont="1" applyFill="1" applyBorder="1" applyAlignment="1">
      <alignment horizontal="center" vertical="center"/>
    </xf>
    <xf numFmtId="0" fontId="74" fillId="15" borderId="22" xfId="0" applyFont="1" applyFill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165" fontId="76" fillId="0" borderId="0" xfId="0" applyNumberFormat="1" applyFont="1"/>
    <xf numFmtId="10" fontId="76" fillId="0" borderId="0" xfId="0" applyNumberFormat="1" applyFont="1"/>
    <xf numFmtId="165" fontId="74" fillId="16" borderId="26" xfId="0" applyNumberFormat="1" applyFont="1" applyFill="1" applyBorder="1"/>
    <xf numFmtId="10" fontId="74" fillId="16" borderId="26" xfId="0" applyNumberFormat="1" applyFont="1" applyFill="1" applyBorder="1"/>
    <xf numFmtId="0" fontId="76" fillId="0" borderId="19" xfId="0" applyFont="1" applyBorder="1" applyAlignment="1">
      <alignment horizontal="right" vertical="center" wrapText="1" readingOrder="1"/>
    </xf>
    <xf numFmtId="10" fontId="76" fillId="0" borderId="20" xfId="0" applyNumberFormat="1" applyFont="1" applyBorder="1" applyAlignment="1">
      <alignment horizontal="right" vertical="center" wrapText="1" readingOrder="1"/>
    </xf>
    <xf numFmtId="0" fontId="74" fillId="14" borderId="22" xfId="0" applyFont="1" applyFill="1" applyBorder="1" applyAlignment="1">
      <alignment horizontal="right" vertical="center" wrapText="1" readingOrder="1"/>
    </xf>
    <xf numFmtId="0" fontId="76" fillId="0" borderId="12" xfId="0" applyFont="1" applyBorder="1" applyAlignment="1">
      <alignment horizontal="right" vertical="center" wrapText="1" readingOrder="1"/>
    </xf>
    <xf numFmtId="0" fontId="76" fillId="0" borderId="20" xfId="0" applyFont="1" applyBorder="1" applyAlignment="1">
      <alignment horizontal="right" vertical="center" wrapText="1" readingOrder="1"/>
    </xf>
    <xf numFmtId="0" fontId="76" fillId="0" borderId="17" xfId="0" applyFont="1" applyBorder="1" applyAlignment="1">
      <alignment horizontal="left" wrapText="1" readingOrder="1"/>
    </xf>
    <xf numFmtId="0" fontId="76" fillId="0" borderId="19" xfId="0" applyFont="1" applyBorder="1" applyAlignment="1">
      <alignment horizontal="right" wrapText="1" readingOrder="1"/>
    </xf>
    <xf numFmtId="0" fontId="76" fillId="0" borderId="18" xfId="0" applyFont="1" applyBorder="1" applyAlignment="1">
      <alignment horizontal="left" vertical="center" wrapText="1" readingOrder="1"/>
    </xf>
    <xf numFmtId="0" fontId="76" fillId="0" borderId="20" xfId="0" applyFont="1" applyBorder="1" applyAlignment="1">
      <alignment horizontal="right" wrapText="1" readingOrder="1"/>
    </xf>
    <xf numFmtId="0" fontId="76" fillId="0" borderId="22" xfId="0" applyFont="1" applyBorder="1" applyAlignment="1">
      <alignment horizontal="right" vertical="center" wrapText="1" readingOrder="1"/>
    </xf>
    <xf numFmtId="0" fontId="78" fillId="0" borderId="21" xfId="0" applyFont="1" applyBorder="1" applyAlignment="1">
      <alignment horizontal="left" vertical="center" wrapText="1" readingOrder="1"/>
    </xf>
    <xf numFmtId="10" fontId="78" fillId="0" borderId="22" xfId="0" applyNumberFormat="1" applyFont="1" applyBorder="1" applyAlignment="1">
      <alignment horizontal="right" vertical="center" wrapText="1" readingOrder="1"/>
    </xf>
    <xf numFmtId="0" fontId="76" fillId="0" borderId="17" xfId="0" applyFont="1" applyBorder="1" applyAlignment="1">
      <alignment horizontal="left" vertical="center" wrapText="1" readingOrder="1"/>
    </xf>
    <xf numFmtId="0" fontId="76" fillId="0" borderId="17" xfId="0" applyFont="1" applyBorder="1" applyAlignment="1">
      <alignment vertical="center" wrapText="1" readingOrder="1"/>
    </xf>
    <xf numFmtId="0" fontId="76" fillId="0" borderId="15" xfId="0" applyFont="1" applyBorder="1" applyAlignment="1">
      <alignment vertical="center" wrapText="1" readingOrder="1"/>
    </xf>
    <xf numFmtId="0" fontId="74" fillId="14" borderId="21" xfId="0" applyFont="1" applyFill="1" applyBorder="1" applyAlignment="1">
      <alignment horizontal="left" vertical="center" wrapText="1" readingOrder="1"/>
    </xf>
    <xf numFmtId="0" fontId="76" fillId="0" borderId="21" xfId="0" applyFont="1" applyBorder="1" applyAlignment="1">
      <alignment horizontal="left" vertical="center" wrapText="1" readingOrder="1"/>
    </xf>
    <xf numFmtId="0" fontId="33" fillId="0" borderId="1" xfId="0" applyFont="1" applyBorder="1" applyAlignment="1">
      <alignment horizontal="center" wrapText="1"/>
    </xf>
    <xf numFmtId="0" fontId="14" fillId="0" borderId="1" xfId="0" applyFont="1" applyBorder="1"/>
    <xf numFmtId="0" fontId="13" fillId="0" borderId="1" xfId="0" applyFont="1" applyBorder="1"/>
    <xf numFmtId="0" fontId="33" fillId="0" borderId="1" xfId="0" applyFont="1" applyBorder="1" applyAlignment="1">
      <alignment horizontal="center"/>
    </xf>
    <xf numFmtId="0" fontId="38" fillId="13" borderId="14" xfId="0" applyFont="1" applyFill="1" applyBorder="1" applyAlignment="1">
      <alignment horizontal="center"/>
    </xf>
    <xf numFmtId="0" fontId="14" fillId="13" borderId="14" xfId="0" applyFont="1" applyFill="1" applyBorder="1"/>
    <xf numFmtId="0" fontId="38" fillId="13" borderId="0" xfId="0" applyFont="1" applyFill="1" applyAlignment="1">
      <alignment horizontal="center"/>
    </xf>
    <xf numFmtId="0" fontId="13" fillId="13" borderId="0" xfId="0" applyFont="1" applyFill="1"/>
    <xf numFmtId="0" fontId="62" fillId="5" borderId="21" xfId="0" applyFont="1" applyFill="1" applyBorder="1" applyAlignment="1">
      <alignment horizontal="center" vertical="center"/>
    </xf>
    <xf numFmtId="0" fontId="63" fillId="7" borderId="26" xfId="0" applyFont="1" applyFill="1" applyBorder="1"/>
    <xf numFmtId="0" fontId="63" fillId="7" borderId="22" xfId="0" applyFont="1" applyFill="1" applyBorder="1"/>
    <xf numFmtId="0" fontId="59" fillId="0" borderId="0" xfId="0" applyFont="1" applyAlignment="1">
      <alignment horizontal="left" vertical="center" wrapText="1"/>
    </xf>
    <xf numFmtId="0" fontId="58" fillId="0" borderId="0" xfId="0" applyFont="1"/>
    <xf numFmtId="0" fontId="64" fillId="0" borderId="9" xfId="0" applyFont="1" applyBorder="1" applyAlignment="1">
      <alignment horizontal="center" vertical="center"/>
    </xf>
    <xf numFmtId="0" fontId="63" fillId="0" borderId="9" xfId="0" applyFont="1" applyBorder="1"/>
    <xf numFmtId="0" fontId="64" fillId="0" borderId="6" xfId="0" applyFont="1" applyBorder="1" applyAlignment="1">
      <alignment horizontal="center" vertical="center"/>
    </xf>
    <xf numFmtId="0" fontId="63" fillId="0" borderId="6" xfId="0" applyFont="1" applyBorder="1"/>
    <xf numFmtId="0" fontId="64" fillId="0" borderId="0" xfId="0" applyFont="1" applyAlignment="1">
      <alignment horizontal="right" vertical="center" textRotation="90"/>
    </xf>
    <xf numFmtId="165" fontId="57" fillId="0" borderId="0" xfId="0" applyNumberFormat="1" applyFont="1" applyAlignment="1">
      <alignment horizontal="center"/>
    </xf>
    <xf numFmtId="0" fontId="13" fillId="0" borderId="0" xfId="0" applyFont="1"/>
    <xf numFmtId="165" fontId="56" fillId="16" borderId="26" xfId="0" applyNumberFormat="1" applyFont="1" applyFill="1" applyBorder="1" applyAlignment="1">
      <alignment horizontal="center"/>
    </xf>
    <xf numFmtId="0" fontId="70" fillId="14" borderId="26" xfId="0" applyFont="1" applyFill="1" applyBorder="1"/>
    <xf numFmtId="0" fontId="56" fillId="15" borderId="21" xfId="0" applyFont="1" applyFill="1" applyBorder="1" applyAlignment="1">
      <alignment horizontal="center" vertical="center"/>
    </xf>
    <xf numFmtId="0" fontId="14" fillId="14" borderId="26" xfId="0" applyFont="1" applyFill="1" applyBorder="1"/>
    <xf numFmtId="0" fontId="14" fillId="14" borderId="22" xfId="0" applyFont="1" applyFill="1" applyBorder="1"/>
    <xf numFmtId="0" fontId="56" fillId="15" borderId="26" xfId="0" applyFont="1" applyFill="1" applyBorder="1" applyAlignment="1">
      <alignment horizontal="center" vertical="center"/>
    </xf>
    <xf numFmtId="0" fontId="77" fillId="14" borderId="21" xfId="0" applyFont="1" applyFill="1" applyBorder="1" applyAlignment="1">
      <alignment horizontal="center" vertical="center" wrapText="1" readingOrder="1"/>
    </xf>
    <xf numFmtId="0" fontId="77" fillId="14" borderId="22" xfId="0" applyFont="1" applyFill="1" applyBorder="1" applyAlignment="1">
      <alignment horizontal="center" vertical="center" wrapText="1" readingOrder="1"/>
    </xf>
    <xf numFmtId="0" fontId="74" fillId="15" borderId="21" xfId="0" applyFont="1" applyFill="1" applyBorder="1" applyAlignment="1">
      <alignment horizontal="center" vertical="center"/>
    </xf>
    <xf numFmtId="0" fontId="18" fillId="14" borderId="26" xfId="0" applyFont="1" applyFill="1" applyBorder="1"/>
    <xf numFmtId="0" fontId="18" fillId="14" borderId="22" xfId="0" applyFont="1" applyFill="1" applyBorder="1"/>
    <xf numFmtId="0" fontId="74" fillId="14" borderId="14" xfId="0" applyFont="1" applyFill="1" applyBorder="1" applyAlignment="1">
      <alignment horizontal="center"/>
    </xf>
  </cellXfs>
  <cellStyles count="9">
    <cellStyle name="Comma 2" xfId="4" xr:uid="{12F03E21-E12A-4EA6-BB20-9A98390B092A}"/>
    <cellStyle name="Invisible" xfId="3" xr:uid="{893C1552-0CA1-4572-91D4-F40AEE5F94AE}"/>
    <cellStyle name="Normal" xfId="0" builtinId="0"/>
    <cellStyle name="Normal 2" xfId="1" xr:uid="{DA7CD423-574D-4101-8B6A-E77B3B56FC3C}"/>
    <cellStyle name="Normal 3" xfId="2" xr:uid="{FAA84ECF-1C74-4D9D-B96C-B8C28821CE1B}"/>
    <cellStyle name="Normal 4" xfId="6" xr:uid="{FC40DE5F-2AB9-4A81-8290-5D5E8AFD7DF9}"/>
    <cellStyle name="Normal 5" xfId="8" xr:uid="{4D21DA66-D1CA-409D-A12C-69C53BD29425}"/>
    <cellStyle name="Percent" xfId="7" builtinId="5"/>
    <cellStyle name="Percent 2" xfId="5" xr:uid="{5EB7E291-7D2F-4A26-AAFE-C1E2CBF7A8B9}"/>
  </cellStyles>
  <dxfs count="0"/>
  <tableStyles count="0" defaultTableStyle="TableStyleMedium2" defaultPivotStyle="PivotStyleLight16"/>
  <colors>
    <mruColors>
      <color rgb="FF001D38"/>
      <color rgb="FFF7F2EC"/>
      <color rgb="FF0432FF"/>
      <color rgb="FFA3C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23" Type="http://schemas.openxmlformats.org/officeDocument/2006/relationships/customXml" Target="../customXml/item3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DCF!$AA$4:$AA$6</c:f>
              <c:numCache>
                <c:formatCode>General</c:formatCode>
                <c:ptCount val="3"/>
              </c:numCache>
            </c:numRef>
          </c:cat>
          <c:val>
            <c:numRef>
              <c:f>DCF!$AB$4:$AB$6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801-D349-BBFA-B72DB317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092976"/>
        <c:axId val="227580880"/>
      </c:barChart>
      <c:catAx>
        <c:axId val="19320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80880"/>
        <c:crosses val="autoZero"/>
        <c:auto val="1"/>
        <c:lblAlgn val="ctr"/>
        <c:lblOffset val="100"/>
        <c:noMultiLvlLbl val="0"/>
      </c:catAx>
      <c:valAx>
        <c:axId val="2275808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320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481263</xdr:colOff>
      <xdr:row>0</xdr:row>
      <xdr:rowOff>136357</xdr:rowOff>
    </xdr:from>
    <xdr:to>
      <xdr:col>13</xdr:col>
      <xdr:colOff>125853</xdr:colOff>
      <xdr:row>4</xdr:row>
      <xdr:rowOff>26072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D97B1-09E0-48CF-BC46-923D55A0A3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385"/>
        <a:stretch>
          <a:fillRect/>
        </a:stretch>
      </xdr:blipFill>
      <xdr:spPr>
        <a:xfrm>
          <a:off x="4868779" y="136357"/>
          <a:ext cx="4072211" cy="675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333375</xdr:colOff>
      <xdr:row>1</xdr:row>
      <xdr:rowOff>66675</xdr:rowOff>
    </xdr:from>
    <xdr:ext cx="7200900" cy="4914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750313" y="1327313"/>
          <a:ext cx="7191375" cy="4905375"/>
        </a:xfrm>
        <a:prstGeom prst="rect">
          <a:avLst/>
        </a:prstGeom>
        <a:solidFill>
          <a:schemeClr val="dk1"/>
        </a:solidFill>
        <a:ln w="12700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working capital assets/liabilities are operating assets/liabilities that are not interest-bearing (so no cash, short term debt, revolver, or leases). Net working capital = total current operating assets - total current operating liabilities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These should be linked to your Metrics &amp; Drivers tab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593651</xdr:colOff>
      <xdr:row>0</xdr:row>
      <xdr:rowOff>0</xdr:rowOff>
    </xdr:from>
    <xdr:to>
      <xdr:col>12</xdr:col>
      <xdr:colOff>28131</xdr:colOff>
      <xdr:row>3</xdr:row>
      <xdr:rowOff>78154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0773D-BF99-4ABD-ACB5-1C44201FD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00"/>
        <a:stretch>
          <a:fillRect/>
        </a:stretch>
      </xdr:blipFill>
      <xdr:spPr>
        <a:xfrm>
          <a:off x="593651" y="0"/>
          <a:ext cx="10161095" cy="7131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753533</xdr:colOff>
      <xdr:row>35</xdr:row>
      <xdr:rowOff>42333</xdr:rowOff>
    </xdr:from>
    <xdr:to>
      <xdr:col>26</xdr:col>
      <xdr:colOff>584200</xdr:colOff>
      <xdr:row>39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C41BB-ECCB-38A9-A01D-FC519C0C9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592767</xdr:colOff>
      <xdr:row>0</xdr:row>
      <xdr:rowOff>42930</xdr:rowOff>
    </xdr:from>
    <xdr:to>
      <xdr:col>10</xdr:col>
      <xdr:colOff>121428</xdr:colOff>
      <xdr:row>2</xdr:row>
      <xdr:rowOff>182425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6A7984E-5B7B-41BC-BE66-FA9C40DE8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385"/>
        <a:stretch>
          <a:fillRect/>
        </a:stretch>
      </xdr:blipFill>
      <xdr:spPr>
        <a:xfrm>
          <a:off x="5830175" y="42930"/>
          <a:ext cx="3864549" cy="5258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0</xdr:row>
      <xdr:rowOff>85458</xdr:rowOff>
    </xdr:from>
    <xdr:to>
      <xdr:col>10</xdr:col>
      <xdr:colOff>99702</xdr:colOff>
      <xdr:row>2</xdr:row>
      <xdr:rowOff>135739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17024-35A9-4B49-BA1B-72D39C00C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385"/>
        <a:stretch>
          <a:fillRect/>
        </a:stretch>
      </xdr:blipFill>
      <xdr:spPr>
        <a:xfrm>
          <a:off x="5077627" y="85458"/>
          <a:ext cx="2706168" cy="4490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Courses%20&amp;%20Programs\1%20Financial%20Modeling%20and%20Valuation%20Analyst%20(FMVA)\02.%20Excel%20Modeling%20Fundamentals\(Updated)%20Excel%20Fundamentals%20-%20Formulas%20for%20Finance%20-%20SCHMID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aw Data"/>
      <sheetName val="Basic Financial Analysis"/>
      <sheetName val="Advanced Financial Analysis"/>
      <sheetName val="Lookup Functions"/>
      <sheetName val="NPV Vs XNPV"/>
      <sheetName val="Simple Amortization"/>
      <sheetName val="Advanced Amortizatio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000000"/>
      </a:hlink>
      <a:folHlink>
        <a:srgbClr val="0000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3C1AD"/>
  </sheetPr>
  <dimension ref="A1:AA968"/>
  <sheetViews>
    <sheetView showGridLines="0" zoomScale="75" zoomScaleNormal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5" sqref="D5"/>
    </sheetView>
  </sheetViews>
  <sheetFormatPr defaultColWidth="14.44140625" defaultRowHeight="15" customHeight="1"/>
  <cols>
    <col min="1" max="2" width="1.77734375" style="19" customWidth="1"/>
    <col min="3" max="3" width="20.77734375" style="19" customWidth="1"/>
    <col min="4" max="5" width="9.21875" style="19" customWidth="1"/>
    <col min="6" max="19" width="10.77734375" style="19" customWidth="1"/>
    <col min="20" max="20" width="9.21875" style="19" customWidth="1"/>
    <col min="21" max="27" width="8.77734375" style="19" customWidth="1"/>
    <col min="28" max="16384" width="14.44140625" style="19"/>
  </cols>
  <sheetData>
    <row r="1" spans="1:27" s="242" customFormat="1" ht="15.6">
      <c r="A1" s="241"/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</row>
    <row r="2" spans="1:27" s="242" customFormat="1" ht="21">
      <c r="A2" s="241"/>
      <c r="B2" s="241"/>
      <c r="C2" s="243" t="s">
        <v>3</v>
      </c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</row>
    <row r="3" spans="1:27" s="242" customFormat="1" ht="12.75" customHeight="1">
      <c r="A3" s="241"/>
      <c r="B3" s="241"/>
      <c r="C3" s="244" t="s">
        <v>4</v>
      </c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1"/>
      <c r="V3" s="241"/>
      <c r="W3" s="241"/>
      <c r="X3" s="241"/>
      <c r="Y3" s="241"/>
      <c r="Z3" s="241"/>
      <c r="AA3" s="241"/>
    </row>
    <row r="4" spans="1:27" s="242" customFormat="1" ht="12.75" customHeight="1">
      <c r="A4" s="241"/>
      <c r="B4" s="241"/>
      <c r="C4" s="246" t="s">
        <v>5</v>
      </c>
      <c r="D4" s="246">
        <v>1</v>
      </c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</row>
    <row r="5" spans="1:27" s="242" customFormat="1" ht="12.75" customHeight="1">
      <c r="A5" s="241"/>
      <c r="B5" s="241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</row>
    <row r="6" spans="1:27" s="242" customFormat="1" ht="12.75" customHeight="1">
      <c r="A6" s="241"/>
      <c r="B6" s="241"/>
      <c r="C6" s="244" t="s">
        <v>227</v>
      </c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 spans="1:27" s="242" customFormat="1" ht="12.75" customHeight="1">
      <c r="A7" s="241"/>
      <c r="B7" s="241"/>
      <c r="C7" s="245"/>
      <c r="D7" s="245"/>
      <c r="E7" s="245"/>
      <c r="F7" s="426" t="s">
        <v>6</v>
      </c>
      <c r="G7" s="427"/>
      <c r="H7" s="427"/>
      <c r="I7" s="426" t="s">
        <v>7</v>
      </c>
      <c r="J7" s="427"/>
      <c r="K7" s="427"/>
      <c r="L7" s="427"/>
      <c r="M7" s="427"/>
      <c r="N7" s="247"/>
      <c r="O7" s="245"/>
      <c r="P7" s="428"/>
      <c r="Q7" s="429"/>
      <c r="R7" s="429"/>
      <c r="S7" s="429"/>
      <c r="T7" s="429"/>
      <c r="U7" s="245"/>
      <c r="V7" s="245"/>
      <c r="W7" s="245"/>
      <c r="X7" s="245"/>
      <c r="Y7" s="245"/>
      <c r="Z7" s="245"/>
      <c r="AA7" s="245"/>
    </row>
    <row r="8" spans="1:27" s="242" customFormat="1" ht="12.75" customHeight="1">
      <c r="A8" s="241"/>
      <c r="B8" s="241"/>
      <c r="C8" s="245"/>
      <c r="D8" s="245"/>
      <c r="E8" s="245"/>
      <c r="F8" s="248" t="s">
        <v>8</v>
      </c>
      <c r="G8" s="248" t="s">
        <v>9</v>
      </c>
      <c r="H8" s="248" t="s">
        <v>10</v>
      </c>
      <c r="I8" s="248" t="s">
        <v>11</v>
      </c>
      <c r="J8" s="248" t="s">
        <v>213</v>
      </c>
      <c r="K8" s="248" t="s">
        <v>12</v>
      </c>
      <c r="L8" s="248" t="s">
        <v>13</v>
      </c>
      <c r="M8" s="248" t="s">
        <v>14</v>
      </c>
      <c r="N8" s="247"/>
      <c r="O8" s="245"/>
      <c r="P8" s="426"/>
      <c r="Q8" s="427"/>
      <c r="R8" s="427"/>
      <c r="S8" s="427"/>
      <c r="T8" s="245"/>
      <c r="U8" s="245"/>
      <c r="V8" s="245"/>
      <c r="W8" s="245"/>
      <c r="X8" s="245"/>
      <c r="Y8" s="245"/>
      <c r="Z8" s="245"/>
      <c r="AA8" s="245"/>
    </row>
    <row r="9" spans="1:27" ht="12.75" customHeight="1" thickBot="1">
      <c r="A9" s="157"/>
      <c r="B9" s="157"/>
      <c r="C9" s="158"/>
      <c r="D9" s="158"/>
      <c r="E9" s="159"/>
      <c r="F9" s="158"/>
      <c r="G9" s="158"/>
      <c r="H9" s="158"/>
      <c r="I9" s="158"/>
      <c r="J9" s="158"/>
      <c r="K9" s="158"/>
      <c r="L9" s="158"/>
      <c r="M9" s="158"/>
      <c r="N9" s="160"/>
      <c r="O9" s="161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</row>
    <row r="10" spans="1:27" ht="12.75" customHeight="1">
      <c r="A10" s="157"/>
      <c r="B10" s="157"/>
      <c r="C10" s="303" t="s">
        <v>15</v>
      </c>
      <c r="D10" s="304"/>
      <c r="E10" s="304"/>
      <c r="F10" s="305">
        <f>'Three Statement Model'!D31</f>
        <v>8.3000000000000007</v>
      </c>
      <c r="G10" s="305">
        <f>'Three Statement Model'!E31</f>
        <v>8.1999999999999993</v>
      </c>
      <c r="H10" s="305">
        <f>'Three Statement Model'!F31</f>
        <v>30.5</v>
      </c>
      <c r="I10" s="305">
        <f>'Three Statement Model'!G31</f>
        <v>11.9</v>
      </c>
      <c r="J10" s="305">
        <f>'Three Statement Model'!H31</f>
        <v>78</v>
      </c>
      <c r="K10" s="305">
        <v>102.2</v>
      </c>
      <c r="L10" s="305">
        <v>123</v>
      </c>
      <c r="M10" s="306">
        <v>130.38</v>
      </c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</row>
    <row r="11" spans="1:27" ht="12.75" customHeight="1" thickBot="1">
      <c r="A11" s="157"/>
      <c r="B11" s="157"/>
      <c r="C11" s="307" t="s">
        <v>16</v>
      </c>
      <c r="D11" s="308"/>
      <c r="E11" s="308"/>
      <c r="F11" s="309"/>
      <c r="G11" s="309">
        <f>(G10-F10)/F10</f>
        <v>-1.2048192771084508E-2</v>
      </c>
      <c r="H11" s="309">
        <f>(H10-G10)/G10</f>
        <v>2.7195121951219514</v>
      </c>
      <c r="I11" s="309">
        <f t="shared" ref="I11" si="0">(I10-H10)/H10</f>
        <v>-0.60983606557377057</v>
      </c>
      <c r="J11" s="309">
        <f>(J10-I10)/I10</f>
        <v>5.5546218487394947</v>
      </c>
      <c r="K11" s="309">
        <f t="shared" ref="K11:M11" si="1">(K10-J10)/J10</f>
        <v>0.31025641025641032</v>
      </c>
      <c r="L11" s="309">
        <f t="shared" si="1"/>
        <v>0.20352250489236787</v>
      </c>
      <c r="M11" s="309">
        <f t="shared" si="1"/>
        <v>5.9999999999999963E-2</v>
      </c>
      <c r="N11" s="158" t="s">
        <v>225</v>
      </c>
      <c r="O11" s="158"/>
      <c r="P11" s="324"/>
      <c r="Q11" s="324"/>
      <c r="R11" s="324"/>
      <c r="S11" s="324"/>
      <c r="T11" s="324"/>
      <c r="U11" s="158"/>
      <c r="V11" s="158"/>
      <c r="W11" s="158"/>
      <c r="X11" s="158"/>
      <c r="Y11" s="158"/>
      <c r="Z11" s="158"/>
      <c r="AA11" s="158"/>
    </row>
    <row r="12" spans="1:27" ht="15" customHeight="1">
      <c r="A12" s="157"/>
      <c r="B12" s="157"/>
      <c r="C12" s="174"/>
      <c r="G12" s="170"/>
      <c r="H12" s="170"/>
      <c r="I12" s="170"/>
      <c r="J12" s="170"/>
      <c r="K12" s="170"/>
      <c r="L12" s="170"/>
      <c r="M12" s="170"/>
      <c r="N12" s="158"/>
      <c r="O12" s="158"/>
      <c r="P12" s="324"/>
      <c r="Q12" s="324"/>
      <c r="R12" s="324"/>
      <c r="S12" s="324"/>
      <c r="T12" s="324"/>
      <c r="U12" s="158"/>
      <c r="V12" s="158"/>
      <c r="W12" s="158"/>
      <c r="X12" s="158"/>
      <c r="Y12" s="158"/>
      <c r="Z12" s="158"/>
      <c r="AA12" s="158"/>
    </row>
    <row r="13" spans="1:27" ht="12.75" customHeight="1" thickBot="1">
      <c r="A13" s="157"/>
      <c r="B13" s="157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75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</row>
    <row r="14" spans="1:27" ht="12.75" customHeight="1">
      <c r="A14" s="157"/>
      <c r="B14" s="157"/>
      <c r="C14" s="162" t="s">
        <v>17</v>
      </c>
      <c r="D14" s="163"/>
      <c r="E14" s="163"/>
      <c r="F14" s="176">
        <f>-'Three Statement Model'!D32</f>
        <v>5.0999999999999996</v>
      </c>
      <c r="G14" s="176">
        <f>-'Three Statement Model'!E32</f>
        <v>5.5</v>
      </c>
      <c r="H14" s="176">
        <f>-'Three Statement Model'!F32</f>
        <v>19.5</v>
      </c>
      <c r="I14" s="176">
        <f>-'Three Statement Model'!G32</f>
        <v>8.5</v>
      </c>
      <c r="J14" s="176">
        <f>-'Three Statement Model'!H32</f>
        <v>54.1</v>
      </c>
      <c r="K14" s="177">
        <f ca="1">K10*(K15)</f>
        <v>68.984999999999999</v>
      </c>
      <c r="L14" s="177">
        <f ca="1">L10*(L15)</f>
        <v>79.95</v>
      </c>
      <c r="M14" s="177">
        <f ca="1">M10*(M15)</f>
        <v>84.747</v>
      </c>
      <c r="N14" s="175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</row>
    <row r="15" spans="1:27" ht="12.75" customHeight="1">
      <c r="A15" s="157"/>
      <c r="B15" s="157"/>
      <c r="C15" s="164" t="s">
        <v>18</v>
      </c>
      <c r="D15" s="165"/>
      <c r="E15" s="165"/>
      <c r="F15" s="166">
        <f>F14/F10</f>
        <v>0.61445783132530107</v>
      </c>
      <c r="G15" s="166">
        <f>G14/G10</f>
        <v>0.67073170731707321</v>
      </c>
      <c r="H15" s="166">
        <f>H14/H10</f>
        <v>0.63934426229508201</v>
      </c>
      <c r="I15" s="178">
        <f>'Three Statement Model'!G32/'Three Statement Model'!G31*-1</f>
        <v>0.7142857142857143</v>
      </c>
      <c r="J15" s="178">
        <f>'Three Statement Model'!H32/'Three Statement Model'!H31*-1</f>
        <v>0.69358974358974357</v>
      </c>
      <c r="K15" s="178">
        <f ca="1">+OFFSET(K15,$D$4,)</f>
        <v>0.67500000000000004</v>
      </c>
      <c r="L15" s="178">
        <f t="shared" ref="L15:M15" ca="1" si="2">+OFFSET(L15,$D$4,)</f>
        <v>0.65</v>
      </c>
      <c r="M15" s="178">
        <f t="shared" ca="1" si="2"/>
        <v>0.65</v>
      </c>
      <c r="N15" s="175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</row>
    <row r="16" spans="1:27" ht="12.75" customHeight="1">
      <c r="A16" s="157"/>
      <c r="B16" s="157"/>
      <c r="C16" s="168" t="s">
        <v>0</v>
      </c>
      <c r="D16" s="169"/>
      <c r="E16" s="166"/>
      <c r="G16" s="170"/>
      <c r="H16" s="170"/>
      <c r="I16" s="179"/>
      <c r="J16" s="179"/>
      <c r="K16" s="179">
        <v>0.67500000000000004</v>
      </c>
      <c r="L16" s="179">
        <v>0.65</v>
      </c>
      <c r="M16" s="179">
        <v>0.65</v>
      </c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</row>
    <row r="17" spans="1:27" ht="12.75" customHeight="1" thickBot="1">
      <c r="A17" s="157"/>
      <c r="B17" s="157"/>
      <c r="C17" s="168" t="s">
        <v>1</v>
      </c>
      <c r="G17" s="170"/>
      <c r="H17" s="170"/>
      <c r="I17" s="180"/>
      <c r="J17" s="180"/>
      <c r="K17" s="180">
        <v>0.6</v>
      </c>
      <c r="L17" s="180">
        <v>0.6</v>
      </c>
      <c r="M17" s="180">
        <v>0.6</v>
      </c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</row>
    <row r="18" spans="1:27" ht="15" customHeight="1" thickBot="1">
      <c r="A18" s="157"/>
      <c r="B18" s="157"/>
      <c r="C18" s="171" t="s">
        <v>2</v>
      </c>
      <c r="D18" s="172"/>
      <c r="E18" s="172"/>
      <c r="F18" s="172"/>
      <c r="G18" s="173"/>
      <c r="H18" s="173"/>
      <c r="I18" s="180"/>
      <c r="J18" s="180"/>
      <c r="K18" s="180">
        <v>0.7</v>
      </c>
      <c r="L18" s="180">
        <v>0.7</v>
      </c>
      <c r="M18" s="180">
        <v>0.7</v>
      </c>
      <c r="N18" s="158"/>
      <c r="O18" s="158"/>
      <c r="U18" s="158"/>
      <c r="V18" s="158"/>
      <c r="W18" s="158"/>
      <c r="X18" s="158"/>
      <c r="Y18" s="158"/>
      <c r="Z18" s="158"/>
      <c r="AA18" s="158"/>
    </row>
    <row r="19" spans="1:27" ht="12.75" customHeight="1" thickBot="1">
      <c r="A19" s="157"/>
      <c r="B19" s="157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U19" s="158"/>
      <c r="V19" s="158"/>
      <c r="W19" s="158"/>
      <c r="X19" s="158"/>
      <c r="Y19" s="158"/>
      <c r="Z19" s="158"/>
      <c r="AA19" s="158"/>
    </row>
    <row r="20" spans="1:27" ht="12.75" customHeight="1">
      <c r="A20" s="157"/>
      <c r="B20" s="157"/>
      <c r="C20" s="162" t="s">
        <v>19</v>
      </c>
      <c r="D20" s="163"/>
      <c r="E20" s="163"/>
      <c r="F20" s="176">
        <f>'Three Statement Model'!D35</f>
        <v>5.8</v>
      </c>
      <c r="G20" s="176">
        <f>'Three Statement Model'!E35</f>
        <v>6.5</v>
      </c>
      <c r="H20" s="176">
        <f>'Three Statement Model'!F35</f>
        <v>8.3000000000000007</v>
      </c>
      <c r="I20" s="176">
        <f>'Three Statement Model'!G35</f>
        <v>11.3</v>
      </c>
      <c r="J20" s="176">
        <f>'Three Statement Model'!H35</f>
        <v>14.8</v>
      </c>
      <c r="K20" s="177">
        <f ca="1">K21*(K10)</f>
        <v>20.440000000000001</v>
      </c>
      <c r="L20" s="177">
        <f ca="1">L21*(L10)</f>
        <v>21.524999999999999</v>
      </c>
      <c r="M20" s="177">
        <f ca="1">M21*(M10)</f>
        <v>19.556999999999999</v>
      </c>
      <c r="N20" s="158"/>
      <c r="O20" s="158"/>
      <c r="U20" s="158"/>
      <c r="V20" s="158"/>
      <c r="W20" s="158"/>
      <c r="X20" s="158"/>
      <c r="Y20" s="158"/>
      <c r="Z20" s="158"/>
      <c r="AA20" s="158"/>
    </row>
    <row r="21" spans="1:27" ht="12.75" customHeight="1">
      <c r="A21" s="157"/>
      <c r="B21" s="157"/>
      <c r="C21" s="164" t="s">
        <v>20</v>
      </c>
      <c r="D21" s="165"/>
      <c r="E21" s="165"/>
      <c r="F21" s="166">
        <f>F20/F10</f>
        <v>0.69879518072289148</v>
      </c>
      <c r="G21" s="166">
        <f t="shared" ref="G21:I21" si="3">G20/G10</f>
        <v>0.79268292682926833</v>
      </c>
      <c r="H21" s="166">
        <f t="shared" si="3"/>
        <v>0.27213114754098361</v>
      </c>
      <c r="I21" s="166">
        <f t="shared" si="3"/>
        <v>0.94957983193277318</v>
      </c>
      <c r="J21" s="166">
        <f>J20/J10</f>
        <v>0.18974358974358976</v>
      </c>
      <c r="K21" s="166">
        <f t="shared" ref="K21:M21" ca="1" si="4">+OFFSET(K21,$D$4,)</f>
        <v>0.2</v>
      </c>
      <c r="L21" s="166">
        <f t="shared" ca="1" si="4"/>
        <v>0.17499999999999999</v>
      </c>
      <c r="M21" s="167">
        <f t="shared" ca="1" si="4"/>
        <v>0.15</v>
      </c>
      <c r="N21" s="158"/>
      <c r="O21" s="158"/>
      <c r="U21" s="158"/>
      <c r="V21" s="158"/>
      <c r="W21" s="158"/>
      <c r="X21" s="158"/>
      <c r="Y21" s="158"/>
      <c r="Z21" s="158"/>
      <c r="AA21" s="158"/>
    </row>
    <row r="22" spans="1:27" ht="12.75" customHeight="1">
      <c r="A22" s="157"/>
      <c r="B22" s="157"/>
      <c r="C22" s="168" t="s">
        <v>0</v>
      </c>
      <c r="D22" s="169"/>
      <c r="E22" s="166"/>
      <c r="G22" s="170"/>
      <c r="H22" s="170"/>
      <c r="I22" s="297"/>
      <c r="J22" s="181"/>
      <c r="K22" s="181">
        <v>0.2</v>
      </c>
      <c r="L22" s="181">
        <v>0.17499999999999999</v>
      </c>
      <c r="M22" s="181">
        <v>0.15</v>
      </c>
      <c r="N22" s="158"/>
      <c r="O22" s="158"/>
      <c r="P22" s="310"/>
      <c r="Q22" s="310"/>
      <c r="R22" s="310"/>
      <c r="S22" s="310"/>
      <c r="T22" s="310"/>
      <c r="U22" s="158"/>
      <c r="V22" s="158"/>
      <c r="W22" s="158"/>
      <c r="X22" s="158"/>
      <c r="Y22" s="158"/>
      <c r="Z22" s="158"/>
      <c r="AA22" s="158"/>
    </row>
    <row r="23" spans="1:27" ht="12.75" customHeight="1">
      <c r="A23" s="157"/>
      <c r="B23" s="157"/>
      <c r="C23" s="168" t="s">
        <v>1</v>
      </c>
      <c r="G23" s="170"/>
      <c r="H23" s="170"/>
      <c r="I23" s="181"/>
      <c r="J23" s="181"/>
      <c r="K23" s="181">
        <v>0.15</v>
      </c>
      <c r="L23" s="181">
        <v>0.125</v>
      </c>
      <c r="M23" s="181">
        <v>0.1</v>
      </c>
      <c r="N23" s="158"/>
      <c r="O23" s="158"/>
      <c r="P23" s="310"/>
      <c r="Q23" s="310"/>
      <c r="R23" s="310"/>
      <c r="S23" s="310"/>
      <c r="T23" s="310"/>
      <c r="U23" s="158"/>
      <c r="V23" s="158"/>
      <c r="W23" s="158"/>
      <c r="X23" s="158"/>
      <c r="Y23" s="158"/>
      <c r="Z23" s="158"/>
      <c r="AA23" s="158"/>
    </row>
    <row r="24" spans="1:27" ht="12.75" customHeight="1" thickBot="1">
      <c r="A24" s="157"/>
      <c r="B24" s="157"/>
      <c r="C24" s="171" t="s">
        <v>2</v>
      </c>
      <c r="D24" s="172"/>
      <c r="E24" s="172"/>
      <c r="F24" s="172"/>
      <c r="G24" s="173"/>
      <c r="H24" s="173"/>
      <c r="I24" s="181"/>
      <c r="J24" s="181"/>
      <c r="K24" s="181">
        <v>0.2</v>
      </c>
      <c r="L24" s="181">
        <v>0.2</v>
      </c>
      <c r="M24" s="181">
        <v>0.2</v>
      </c>
      <c r="N24" s="158"/>
      <c r="O24" s="158"/>
      <c r="P24" s="324"/>
      <c r="Q24" s="313"/>
      <c r="R24" s="313"/>
      <c r="S24" s="313"/>
      <c r="T24" s="313"/>
      <c r="U24" s="158"/>
      <c r="V24" s="158"/>
      <c r="W24" s="158"/>
      <c r="X24" s="158"/>
      <c r="Y24" s="158"/>
      <c r="Z24" s="158"/>
      <c r="AA24" s="158"/>
    </row>
    <row r="25" spans="1:27" ht="12.75" customHeight="1">
      <c r="A25" s="157"/>
      <c r="B25" s="157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313"/>
      <c r="Q25" s="310"/>
      <c r="R25" s="310"/>
      <c r="S25" s="310"/>
      <c r="T25" s="313"/>
      <c r="U25" s="158"/>
      <c r="V25" s="158"/>
      <c r="W25" s="158"/>
      <c r="X25" s="158"/>
      <c r="Y25" s="158"/>
      <c r="Z25" s="158"/>
      <c r="AA25" s="158"/>
    </row>
    <row r="26" spans="1:27" ht="12.75" customHeight="1" thickBot="1">
      <c r="A26" s="157"/>
      <c r="B26" s="157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313"/>
      <c r="Q26" s="310"/>
      <c r="R26" s="310"/>
      <c r="S26" s="310"/>
      <c r="T26" s="313"/>
      <c r="U26" s="158"/>
      <c r="V26" s="158"/>
      <c r="W26" s="158"/>
      <c r="X26" s="158"/>
      <c r="Y26" s="158"/>
      <c r="Z26" s="158"/>
      <c r="AA26" s="158"/>
    </row>
    <row r="27" spans="1:27" ht="12.75" customHeight="1">
      <c r="A27" s="157"/>
      <c r="B27" s="157"/>
      <c r="C27" s="162" t="s">
        <v>22</v>
      </c>
      <c r="D27" s="163"/>
      <c r="E27" s="163"/>
      <c r="F27" s="176">
        <f>'Three Statement Model'!D106</f>
        <v>0.5</v>
      </c>
      <c r="G27" s="176">
        <f>'Three Statement Model'!E106</f>
        <v>0.5</v>
      </c>
      <c r="H27" s="176">
        <f>'Three Statement Model'!F106</f>
        <v>0.5</v>
      </c>
      <c r="I27" s="176">
        <f>'Three Statement Model'!G106</f>
        <v>0.4</v>
      </c>
      <c r="J27" s="176">
        <f>'Three Statement Model'!H106</f>
        <v>0.5</v>
      </c>
      <c r="K27" s="177">
        <f ca="1">K28*K10</f>
        <v>0.61320000000000008</v>
      </c>
      <c r="L27" s="177">
        <f ca="1">L28*L10</f>
        <v>0.73799999999999999</v>
      </c>
      <c r="M27" s="177">
        <f ca="1">M28*M10</f>
        <v>0.78227999999999998</v>
      </c>
      <c r="N27" s="158"/>
      <c r="O27" s="158"/>
      <c r="P27" s="313"/>
      <c r="Q27" s="310"/>
      <c r="R27" s="310"/>
      <c r="S27" s="310"/>
      <c r="T27" s="313"/>
      <c r="U27" s="158"/>
      <c r="V27" s="158"/>
      <c r="W27" s="158"/>
      <c r="X27" s="158"/>
      <c r="Y27" s="158"/>
      <c r="Z27" s="158"/>
      <c r="AA27" s="158"/>
    </row>
    <row r="28" spans="1:27" ht="12.75" customHeight="1">
      <c r="A28" s="157"/>
      <c r="B28" s="157"/>
      <c r="C28" s="164" t="s">
        <v>20</v>
      </c>
      <c r="D28" s="165"/>
      <c r="E28" s="165"/>
      <c r="F28" s="166">
        <f>F27/F10</f>
        <v>6.0240963855421679E-2</v>
      </c>
      <c r="G28" s="166">
        <f t="shared" ref="G28:J28" si="5">G27/G10</f>
        <v>6.0975609756097567E-2</v>
      </c>
      <c r="H28" s="166">
        <f t="shared" si="5"/>
        <v>1.6393442622950821E-2</v>
      </c>
      <c r="I28" s="166">
        <f t="shared" si="5"/>
        <v>3.3613445378151259E-2</v>
      </c>
      <c r="J28" s="166">
        <f t="shared" si="5"/>
        <v>6.41025641025641E-3</v>
      </c>
      <c r="K28" s="166">
        <f t="shared" ref="K28:M28" ca="1" si="6">+OFFSET(K28,$D$4,)</f>
        <v>6.0000000000000001E-3</v>
      </c>
      <c r="L28" s="166">
        <f t="shared" ca="1" si="6"/>
        <v>6.0000000000000001E-3</v>
      </c>
      <c r="M28" s="167">
        <f t="shared" ca="1" si="6"/>
        <v>6.0000000000000001E-3</v>
      </c>
      <c r="N28" s="158"/>
      <c r="O28" s="158"/>
      <c r="P28" s="313"/>
      <c r="Q28" s="313"/>
      <c r="R28" s="313"/>
      <c r="S28" s="313"/>
      <c r="T28" s="313"/>
      <c r="U28" s="158"/>
      <c r="V28" s="158"/>
      <c r="W28" s="158"/>
      <c r="X28" s="158"/>
      <c r="Y28" s="158"/>
      <c r="Z28" s="158"/>
      <c r="AA28" s="158"/>
    </row>
    <row r="29" spans="1:27" ht="12.75" customHeight="1">
      <c r="A29" s="157"/>
      <c r="B29" s="157"/>
      <c r="C29" s="168" t="s">
        <v>0</v>
      </c>
      <c r="D29" s="169"/>
      <c r="E29" s="166"/>
      <c r="G29" s="170"/>
      <c r="H29" s="170"/>
      <c r="I29" s="182"/>
      <c r="J29" s="182"/>
      <c r="K29" s="182">
        <v>6.0000000000000001E-3</v>
      </c>
      <c r="L29" s="182">
        <v>6.0000000000000001E-3</v>
      </c>
      <c r="M29" s="182">
        <v>6.0000000000000001E-3</v>
      </c>
      <c r="N29" s="158"/>
      <c r="O29" s="158"/>
      <c r="P29" s="317"/>
      <c r="Q29" s="317"/>
      <c r="R29" s="317"/>
      <c r="S29" s="317"/>
      <c r="T29" s="317"/>
      <c r="U29" s="158"/>
      <c r="V29" s="158"/>
      <c r="W29" s="158"/>
      <c r="X29" s="158"/>
      <c r="Y29" s="158"/>
      <c r="Z29" s="158"/>
      <c r="AA29" s="158"/>
    </row>
    <row r="30" spans="1:27" ht="12.75" customHeight="1">
      <c r="A30" s="157"/>
      <c r="B30" s="157"/>
      <c r="C30" s="168" t="s">
        <v>1</v>
      </c>
      <c r="G30" s="170"/>
      <c r="H30" s="170"/>
      <c r="I30" s="182"/>
      <c r="J30" s="182"/>
      <c r="K30" s="182">
        <v>4.0000000000000001E-3</v>
      </c>
      <c r="L30" s="182">
        <v>4.0000000000000001E-3</v>
      </c>
      <c r="M30" s="182">
        <v>4.0000000000000001E-3</v>
      </c>
      <c r="N30" s="158"/>
      <c r="O30" s="158"/>
      <c r="P30" s="317"/>
      <c r="Q30" s="317"/>
      <c r="R30" s="317"/>
      <c r="S30" s="317"/>
      <c r="T30" s="317"/>
      <c r="U30" s="158"/>
      <c r="V30" s="158"/>
      <c r="W30" s="158"/>
      <c r="X30" s="158"/>
      <c r="Y30" s="158"/>
      <c r="Z30" s="158"/>
      <c r="AA30" s="158"/>
    </row>
    <row r="31" spans="1:27" ht="12.75" customHeight="1" thickBot="1">
      <c r="A31" s="157"/>
      <c r="B31" s="157"/>
      <c r="C31" s="171" t="s">
        <v>2</v>
      </c>
      <c r="D31" s="172"/>
      <c r="E31" s="172"/>
      <c r="F31" s="172"/>
      <c r="G31" s="173"/>
      <c r="H31" s="173"/>
      <c r="I31" s="182"/>
      <c r="J31" s="182"/>
      <c r="K31" s="182">
        <v>0.01</v>
      </c>
      <c r="L31" s="182">
        <v>0.01</v>
      </c>
      <c r="M31" s="182">
        <v>0.01</v>
      </c>
      <c r="N31" s="158"/>
      <c r="O31" s="158"/>
      <c r="P31" s="422"/>
      <c r="Q31" s="423"/>
      <c r="R31" s="423"/>
      <c r="S31" s="423"/>
      <c r="T31" s="423"/>
      <c r="U31" s="158"/>
      <c r="V31" s="158"/>
      <c r="W31" s="158"/>
      <c r="X31" s="158"/>
      <c r="Y31" s="158"/>
      <c r="Z31" s="158"/>
      <c r="AA31" s="158"/>
    </row>
    <row r="32" spans="1:27" ht="12.75" customHeight="1" thickBot="1">
      <c r="A32" s="157"/>
      <c r="B32" s="157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423"/>
      <c r="Q32" s="424"/>
      <c r="R32" s="424"/>
      <c r="S32" s="424"/>
      <c r="T32" s="423"/>
      <c r="U32" s="158"/>
      <c r="V32" s="158"/>
      <c r="W32" s="158"/>
      <c r="X32" s="158"/>
      <c r="Y32" s="158"/>
      <c r="Z32" s="158"/>
      <c r="AA32" s="158"/>
    </row>
    <row r="33" spans="1:27" ht="12.75" customHeight="1">
      <c r="A33" s="157"/>
      <c r="B33" s="157"/>
      <c r="C33" s="162" t="s">
        <v>23</v>
      </c>
      <c r="D33" s="163"/>
      <c r="E33" s="163"/>
      <c r="F33" s="176">
        <f>'Three Statement Model'!D38</f>
        <v>0</v>
      </c>
      <c r="G33" s="176">
        <f>'Three Statement Model'!E38</f>
        <v>0</v>
      </c>
      <c r="H33" s="176">
        <f>'Three Statement Model'!F38</f>
        <v>0</v>
      </c>
      <c r="I33" s="176">
        <f>'Three Statement Model'!G38</f>
        <v>0</v>
      </c>
      <c r="J33" s="176">
        <f>'Three Statement Model'!H38</f>
        <v>0</v>
      </c>
      <c r="K33" s="177">
        <f ca="1">K34*K10</f>
        <v>0</v>
      </c>
      <c r="L33" s="177">
        <f ca="1">L34*L10</f>
        <v>0</v>
      </c>
      <c r="M33" s="177">
        <f ca="1">M34*M10</f>
        <v>0</v>
      </c>
      <c r="N33" s="158"/>
      <c r="O33" s="158"/>
      <c r="P33" s="423"/>
      <c r="Q33" s="424"/>
      <c r="R33" s="424"/>
      <c r="S33" s="424"/>
      <c r="T33" s="423"/>
      <c r="U33" s="158"/>
      <c r="V33" s="158"/>
      <c r="W33" s="158"/>
      <c r="X33" s="158"/>
      <c r="Y33" s="158"/>
      <c r="Z33" s="158"/>
      <c r="AA33" s="158"/>
    </row>
    <row r="34" spans="1:27" ht="12.75" customHeight="1">
      <c r="A34" s="157"/>
      <c r="B34" s="157"/>
      <c r="C34" s="164" t="s">
        <v>20</v>
      </c>
      <c r="D34" s="165"/>
      <c r="E34" s="165"/>
      <c r="F34" s="166">
        <f>F33/(F10)</f>
        <v>0</v>
      </c>
      <c r="G34" s="166">
        <f t="shared" ref="G34:J34" si="7">G33/(G10)</f>
        <v>0</v>
      </c>
      <c r="H34" s="166">
        <f t="shared" si="7"/>
        <v>0</v>
      </c>
      <c r="I34" s="166">
        <f t="shared" si="7"/>
        <v>0</v>
      </c>
      <c r="J34" s="166">
        <f t="shared" si="7"/>
        <v>0</v>
      </c>
      <c r="K34" s="166">
        <f t="shared" ref="K34:M34" ca="1" si="8">+OFFSET(K34,$D$4,)</f>
        <v>0</v>
      </c>
      <c r="L34" s="166">
        <f t="shared" ca="1" si="8"/>
        <v>0</v>
      </c>
      <c r="M34" s="167">
        <f t="shared" ca="1" si="8"/>
        <v>0</v>
      </c>
      <c r="N34" s="158"/>
      <c r="O34" s="158"/>
      <c r="P34" s="423"/>
      <c r="Q34" s="423"/>
      <c r="R34" s="423"/>
      <c r="S34" s="423"/>
      <c r="T34" s="423"/>
      <c r="U34" s="158"/>
      <c r="V34" s="158"/>
      <c r="W34" s="158"/>
      <c r="X34" s="158"/>
      <c r="Y34" s="158"/>
      <c r="Z34" s="158"/>
      <c r="AA34" s="158"/>
    </row>
    <row r="35" spans="1:27" ht="12.75" customHeight="1">
      <c r="A35" s="157"/>
      <c r="B35" s="157"/>
      <c r="C35" s="168" t="s">
        <v>0</v>
      </c>
      <c r="D35" s="169"/>
      <c r="E35" s="166"/>
      <c r="G35" s="170"/>
      <c r="H35" s="170"/>
      <c r="I35" s="182"/>
      <c r="J35" s="182"/>
      <c r="K35" s="182">
        <v>0</v>
      </c>
      <c r="L35" s="182">
        <v>0</v>
      </c>
      <c r="M35" s="182">
        <v>0</v>
      </c>
      <c r="N35" s="158"/>
      <c r="O35" s="158"/>
      <c r="P35" s="317"/>
      <c r="Q35" s="317"/>
      <c r="R35" s="317"/>
      <c r="S35" s="317"/>
      <c r="T35" s="317"/>
      <c r="U35" s="158"/>
      <c r="V35" s="158"/>
      <c r="W35" s="158"/>
      <c r="X35" s="158"/>
      <c r="Y35" s="158"/>
      <c r="Z35" s="158"/>
      <c r="AA35" s="158"/>
    </row>
    <row r="36" spans="1:27" ht="12.75" customHeight="1">
      <c r="A36" s="157"/>
      <c r="B36" s="157"/>
      <c r="C36" s="168" t="s">
        <v>1</v>
      </c>
      <c r="G36" s="170"/>
      <c r="H36" s="170"/>
      <c r="I36" s="182"/>
      <c r="J36" s="182"/>
      <c r="K36" s="182">
        <v>0</v>
      </c>
      <c r="L36" s="182">
        <v>0</v>
      </c>
      <c r="M36" s="182">
        <v>0</v>
      </c>
      <c r="N36" s="158"/>
      <c r="O36" s="158"/>
      <c r="P36" s="317"/>
      <c r="Q36" s="317"/>
      <c r="R36" s="317"/>
      <c r="S36" s="317"/>
      <c r="T36" s="317"/>
      <c r="U36" s="158"/>
      <c r="V36" s="158"/>
      <c r="W36" s="158"/>
      <c r="X36" s="158"/>
      <c r="Y36" s="158"/>
      <c r="Z36" s="158"/>
      <c r="AA36" s="158"/>
    </row>
    <row r="37" spans="1:27" ht="12.75" customHeight="1" thickBot="1">
      <c r="A37" s="157"/>
      <c r="B37" s="157"/>
      <c r="C37" s="171" t="s">
        <v>2</v>
      </c>
      <c r="D37" s="172"/>
      <c r="E37" s="172"/>
      <c r="F37" s="172"/>
      <c r="G37" s="173"/>
      <c r="H37" s="173"/>
      <c r="I37" s="182"/>
      <c r="J37" s="182"/>
      <c r="K37" s="182">
        <v>5.0000000000000001E-3</v>
      </c>
      <c r="L37" s="182">
        <v>5.0000000000000001E-3</v>
      </c>
      <c r="M37" s="182">
        <v>5.0000000000000001E-3</v>
      </c>
      <c r="N37" s="158"/>
      <c r="O37" s="158"/>
      <c r="P37" s="425"/>
      <c r="Q37" s="423"/>
      <c r="R37" s="423"/>
      <c r="S37" s="423"/>
      <c r="T37" s="423"/>
      <c r="U37" s="158"/>
      <c r="V37" s="158"/>
      <c r="W37" s="158"/>
      <c r="X37" s="158"/>
      <c r="Y37" s="158"/>
      <c r="Z37" s="158"/>
      <c r="AA37" s="158"/>
    </row>
    <row r="38" spans="1:27" ht="12.75" customHeight="1" thickBot="1">
      <c r="A38" s="157"/>
      <c r="B38" s="157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423"/>
      <c r="Q38" s="424"/>
      <c r="R38" s="424"/>
      <c r="S38" s="424"/>
      <c r="T38" s="423"/>
      <c r="U38" s="158"/>
      <c r="V38" s="158"/>
      <c r="W38" s="158"/>
      <c r="X38" s="158"/>
      <c r="Y38" s="158"/>
      <c r="Z38" s="158"/>
      <c r="AA38" s="158"/>
    </row>
    <row r="39" spans="1:27" ht="12.75" customHeight="1">
      <c r="A39" s="157"/>
      <c r="B39" s="157"/>
      <c r="C39" s="162" t="s">
        <v>24</v>
      </c>
      <c r="D39" s="163"/>
      <c r="E39" s="163"/>
      <c r="F39" s="176">
        <f>-'Three Statement Model'!D49</f>
        <v>0</v>
      </c>
      <c r="G39" s="176">
        <f>-'Three Statement Model'!E49</f>
        <v>0</v>
      </c>
      <c r="H39" s="176">
        <f>-'Three Statement Model'!F49</f>
        <v>0</v>
      </c>
      <c r="I39" s="176">
        <f>-'Three Statement Model'!G49</f>
        <v>0</v>
      </c>
      <c r="J39" s="176">
        <f>-'Three Statement Model'!H49</f>
        <v>-3.4</v>
      </c>
      <c r="K39" s="177">
        <f ca="1">K40*K10</f>
        <v>0</v>
      </c>
      <c r="L39" s="177">
        <f ca="1">L40*L10</f>
        <v>0</v>
      </c>
      <c r="M39" s="177">
        <f ca="1">M40*M10</f>
        <v>0</v>
      </c>
      <c r="N39" s="158"/>
      <c r="O39" s="158"/>
      <c r="P39" s="423"/>
      <c r="Q39" s="424"/>
      <c r="R39" s="424"/>
      <c r="S39" s="424"/>
      <c r="T39" s="423"/>
      <c r="U39" s="158"/>
      <c r="V39" s="158"/>
      <c r="W39" s="158"/>
      <c r="X39" s="158"/>
      <c r="Y39" s="158"/>
      <c r="Z39" s="158"/>
      <c r="AA39" s="158"/>
    </row>
    <row r="40" spans="1:27" ht="12.75" customHeight="1">
      <c r="A40" s="157"/>
      <c r="B40" s="157"/>
      <c r="C40" s="164" t="s">
        <v>20</v>
      </c>
      <c r="D40" s="165"/>
      <c r="E40" s="165"/>
      <c r="F40" s="166">
        <f>F39/(F10)</f>
        <v>0</v>
      </c>
      <c r="G40" s="166">
        <f t="shared" ref="G40:J40" si="9">G39/(G10)</f>
        <v>0</v>
      </c>
      <c r="H40" s="166">
        <f t="shared" si="9"/>
        <v>0</v>
      </c>
      <c r="I40" s="166">
        <f t="shared" si="9"/>
        <v>0</v>
      </c>
      <c r="J40" s="166">
        <f t="shared" si="9"/>
        <v>-4.3589743589743588E-2</v>
      </c>
      <c r="K40" s="166">
        <f t="shared" ref="K40:M40" ca="1" si="10">+OFFSET(K40,$D$4,)</f>
        <v>0</v>
      </c>
      <c r="L40" s="166">
        <f t="shared" ca="1" si="10"/>
        <v>0</v>
      </c>
      <c r="M40" s="167">
        <f t="shared" ca="1" si="10"/>
        <v>0</v>
      </c>
      <c r="N40" s="158"/>
      <c r="O40" s="158"/>
      <c r="P40" s="423"/>
      <c r="Q40" s="423"/>
      <c r="R40" s="423"/>
      <c r="S40" s="423"/>
      <c r="T40" s="423"/>
      <c r="U40" s="158"/>
      <c r="V40" s="158"/>
      <c r="W40" s="158"/>
      <c r="X40" s="158"/>
      <c r="Y40" s="158"/>
      <c r="Z40" s="158"/>
      <c r="AA40" s="158"/>
    </row>
    <row r="41" spans="1:27" ht="12.75" customHeight="1">
      <c r="A41" s="157"/>
      <c r="B41" s="157"/>
      <c r="C41" s="168" t="s">
        <v>0</v>
      </c>
      <c r="D41" s="169"/>
      <c r="E41" s="166"/>
      <c r="G41" s="170"/>
      <c r="H41" s="170"/>
      <c r="I41" s="181"/>
      <c r="J41" s="181"/>
      <c r="K41" s="181">
        <v>0</v>
      </c>
      <c r="L41" s="181">
        <v>0</v>
      </c>
      <c r="M41" s="181">
        <v>0</v>
      </c>
      <c r="N41" s="158"/>
      <c r="O41" s="158"/>
      <c r="P41" s="317"/>
      <c r="Q41" s="317"/>
      <c r="R41" s="317"/>
      <c r="S41" s="317"/>
      <c r="T41" s="317"/>
      <c r="U41" s="158"/>
      <c r="V41" s="158"/>
      <c r="W41" s="158"/>
      <c r="X41" s="158"/>
      <c r="Y41" s="158"/>
      <c r="Z41" s="158"/>
      <c r="AA41" s="158"/>
    </row>
    <row r="42" spans="1:27" ht="12.75" customHeight="1">
      <c r="A42" s="157"/>
      <c r="B42" s="157"/>
      <c r="C42" s="168" t="s">
        <v>1</v>
      </c>
      <c r="G42" s="170"/>
      <c r="H42" s="170"/>
      <c r="I42" s="181"/>
      <c r="J42" s="181"/>
      <c r="K42" s="181">
        <v>0</v>
      </c>
      <c r="L42" s="181">
        <v>0</v>
      </c>
      <c r="M42" s="181">
        <v>0</v>
      </c>
      <c r="N42" s="158"/>
      <c r="O42" s="158"/>
      <c r="P42" s="317"/>
      <c r="Q42" s="317"/>
      <c r="R42" s="317"/>
      <c r="S42" s="317"/>
      <c r="T42" s="317"/>
      <c r="U42" s="158"/>
      <c r="V42" s="158"/>
      <c r="W42" s="158"/>
      <c r="X42" s="158"/>
      <c r="Y42" s="158"/>
      <c r="Z42" s="158"/>
      <c r="AA42" s="158"/>
    </row>
    <row r="43" spans="1:27" ht="12.75" customHeight="1" thickBot="1">
      <c r="A43" s="157"/>
      <c r="B43" s="157"/>
      <c r="C43" s="171" t="s">
        <v>2</v>
      </c>
      <c r="D43" s="172"/>
      <c r="E43" s="172"/>
      <c r="F43" s="172"/>
      <c r="G43" s="173"/>
      <c r="H43" s="173"/>
      <c r="I43" s="181"/>
      <c r="J43" s="181"/>
      <c r="K43" s="181">
        <v>0</v>
      </c>
      <c r="L43" s="181">
        <v>0</v>
      </c>
      <c r="M43" s="181">
        <v>0</v>
      </c>
      <c r="N43" s="158"/>
      <c r="O43" s="158"/>
      <c r="P43" s="317"/>
      <c r="Q43" s="317"/>
      <c r="R43" s="317"/>
      <c r="S43" s="317"/>
      <c r="T43" s="317"/>
      <c r="U43" s="158"/>
      <c r="V43" s="158"/>
      <c r="W43" s="158"/>
      <c r="X43" s="158"/>
      <c r="Y43" s="158"/>
      <c r="Z43" s="158"/>
      <c r="AA43" s="158"/>
    </row>
    <row r="44" spans="1:27" ht="12.75" customHeight="1" thickBot="1">
      <c r="A44" s="157"/>
      <c r="B44" s="157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</row>
    <row r="45" spans="1:27" ht="12.75" customHeight="1">
      <c r="A45" s="157"/>
      <c r="B45" s="157"/>
      <c r="C45" s="162" t="s">
        <v>25</v>
      </c>
      <c r="D45" s="163"/>
      <c r="E45" s="163"/>
      <c r="F45" s="176">
        <f>'Three Statement Model'!D64</f>
        <v>2.2999999999999998</v>
      </c>
      <c r="G45" s="176">
        <f>'Three Statement Model'!E64</f>
        <v>1.7</v>
      </c>
      <c r="H45" s="176">
        <f>'Three Statement Model'!F64</f>
        <v>3.3</v>
      </c>
      <c r="I45" s="176">
        <f>'Three Statement Model'!G64</f>
        <v>2.1</v>
      </c>
      <c r="J45" s="176">
        <f>'Three Statement Model'!H64</f>
        <v>50.8</v>
      </c>
      <c r="K45" s="177">
        <f ca="1">(K46*K10/365)</f>
        <v>56</v>
      </c>
      <c r="L45" s="177">
        <f t="shared" ref="L45:M45" ca="1" si="11">(L46*L10/365)</f>
        <v>67.397260273972606</v>
      </c>
      <c r="M45" s="177">
        <f t="shared" ca="1" si="11"/>
        <v>71.441095890410963</v>
      </c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</row>
    <row r="46" spans="1:27" ht="12.75" customHeight="1">
      <c r="A46" s="157"/>
      <c r="B46" s="157"/>
      <c r="C46" s="164" t="s">
        <v>26</v>
      </c>
      <c r="D46" s="165"/>
      <c r="E46" s="165"/>
      <c r="F46" s="183">
        <f>(F45/(F10))*365</f>
        <v>101.14457831325299</v>
      </c>
      <c r="G46" s="183">
        <f t="shared" ref="G46:I46" si="12">(G45/(G10))*365</f>
        <v>75.670731707317074</v>
      </c>
      <c r="H46" s="183">
        <f t="shared" si="12"/>
        <v>39.491803278688522</v>
      </c>
      <c r="I46" s="183">
        <f t="shared" si="12"/>
        <v>64.411764705882362</v>
      </c>
      <c r="J46" s="183">
        <f>(J45/(J10))*365</f>
        <v>237.71794871794873</v>
      </c>
      <c r="K46" s="183">
        <f t="shared" ref="K46:M46" ca="1" si="13">+OFFSET(K46,$D$4,)</f>
        <v>200</v>
      </c>
      <c r="L46" s="183">
        <f t="shared" ca="1" si="13"/>
        <v>200</v>
      </c>
      <c r="M46" s="183">
        <f t="shared" ca="1" si="13"/>
        <v>200</v>
      </c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</row>
    <row r="47" spans="1:27" ht="12.75" customHeight="1">
      <c r="A47" s="157"/>
      <c r="B47" s="157"/>
      <c r="C47" s="168" t="s">
        <v>0</v>
      </c>
      <c r="D47" s="169"/>
      <c r="E47" s="166"/>
      <c r="G47" s="170"/>
      <c r="H47" s="170"/>
      <c r="I47" s="184"/>
      <c r="J47" s="184"/>
      <c r="K47" s="184">
        <v>200</v>
      </c>
      <c r="L47" s="184">
        <v>200</v>
      </c>
      <c r="M47" s="184">
        <v>200</v>
      </c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</row>
    <row r="48" spans="1:27" ht="12.75" customHeight="1">
      <c r="A48" s="157"/>
      <c r="B48" s="157"/>
      <c r="C48" s="168" t="s">
        <v>1</v>
      </c>
      <c r="G48" s="170"/>
      <c r="H48" s="170"/>
      <c r="I48" s="184"/>
      <c r="J48" s="184"/>
      <c r="K48" s="184">
        <v>250</v>
      </c>
      <c r="L48" s="184">
        <v>250</v>
      </c>
      <c r="M48" s="184">
        <v>250</v>
      </c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</row>
    <row r="49" spans="1:27" ht="12.75" customHeight="1" thickBot="1">
      <c r="A49" s="157"/>
      <c r="B49" s="157"/>
      <c r="C49" s="171" t="s">
        <v>2</v>
      </c>
      <c r="D49" s="172"/>
      <c r="E49" s="172"/>
      <c r="F49" s="172"/>
      <c r="G49" s="173"/>
      <c r="H49" s="173"/>
      <c r="I49" s="185"/>
      <c r="J49" s="185"/>
      <c r="K49" s="185">
        <v>175</v>
      </c>
      <c r="L49" s="185">
        <v>175</v>
      </c>
      <c r="M49" s="185">
        <v>150</v>
      </c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</row>
    <row r="50" spans="1:27" ht="12.75" customHeight="1">
      <c r="A50" s="157"/>
      <c r="B50" s="157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</row>
    <row r="51" spans="1:27" ht="12.75" customHeight="1" thickBot="1">
      <c r="A51" s="157"/>
      <c r="B51" s="157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75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</row>
    <row r="52" spans="1:27" ht="12.75" customHeight="1">
      <c r="A52" s="157"/>
      <c r="B52" s="157"/>
      <c r="C52" s="162" t="s">
        <v>28</v>
      </c>
      <c r="D52" s="163"/>
      <c r="E52" s="163"/>
      <c r="F52" s="176">
        <f>'Three Statement Model'!D75</f>
        <v>9</v>
      </c>
      <c r="G52" s="176">
        <f>'Three Statement Model'!E75</f>
        <v>9.3000000000000007</v>
      </c>
      <c r="H52" s="176">
        <f>'Three Statement Model'!F75</f>
        <v>11.7</v>
      </c>
      <c r="I52" s="176">
        <f>'Three Statement Model'!G75</f>
        <v>14.1</v>
      </c>
      <c r="J52" s="176">
        <f>'Three Statement Model'!H75</f>
        <v>16.7</v>
      </c>
      <c r="K52" s="177">
        <f ca="1">(K10*K53)</f>
        <v>15.33</v>
      </c>
      <c r="L52" s="177">
        <f ca="1">(L10*L53)</f>
        <v>15.375</v>
      </c>
      <c r="M52" s="177">
        <f ca="1">(M10*M53)</f>
        <v>13.038</v>
      </c>
      <c r="N52" s="175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 spans="1:27" ht="12.75" customHeight="1">
      <c r="A53" s="157"/>
      <c r="B53" s="157"/>
      <c r="C53" s="164" t="s">
        <v>20</v>
      </c>
      <c r="D53" s="165"/>
      <c r="E53" s="165"/>
      <c r="F53" s="178">
        <f>F52/(F10)</f>
        <v>1.0843373493975903</v>
      </c>
      <c r="G53" s="178">
        <f t="shared" ref="G53:J53" si="14">G52/(G10)</f>
        <v>1.1341463414634148</v>
      </c>
      <c r="H53" s="178">
        <f t="shared" si="14"/>
        <v>0.38360655737704918</v>
      </c>
      <c r="I53" s="178">
        <f t="shared" si="14"/>
        <v>1.1848739495798319</v>
      </c>
      <c r="J53" s="178">
        <f t="shared" si="14"/>
        <v>0.21410256410256409</v>
      </c>
      <c r="K53" s="178">
        <f t="shared" ref="K53:M53" ca="1" si="15">+OFFSET(K53,$D$4,)</f>
        <v>0.15</v>
      </c>
      <c r="L53" s="178">
        <f t="shared" ca="1" si="15"/>
        <v>0.125</v>
      </c>
      <c r="M53" s="178">
        <f t="shared" ca="1" si="15"/>
        <v>0.1</v>
      </c>
      <c r="N53" s="175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</row>
    <row r="54" spans="1:27" ht="12.75" customHeight="1">
      <c r="A54" s="157"/>
      <c r="B54" s="157"/>
      <c r="C54" s="168" t="s">
        <v>0</v>
      </c>
      <c r="D54" s="169"/>
      <c r="E54" s="166"/>
      <c r="G54" s="170"/>
      <c r="H54" s="170"/>
      <c r="I54" s="182"/>
      <c r="J54" s="182"/>
      <c r="K54" s="182">
        <v>0.15</v>
      </c>
      <c r="L54" s="182">
        <v>0.125</v>
      </c>
      <c r="M54" s="182">
        <v>0.1</v>
      </c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</row>
    <row r="55" spans="1:27" ht="12.75" customHeight="1">
      <c r="A55" s="157"/>
      <c r="B55" s="157"/>
      <c r="C55" s="168" t="s">
        <v>1</v>
      </c>
      <c r="G55" s="170"/>
      <c r="H55" s="170"/>
      <c r="I55" s="182"/>
      <c r="J55" s="182"/>
      <c r="K55" s="182">
        <v>0.17499999999999999</v>
      </c>
      <c r="L55" s="182">
        <v>0.15</v>
      </c>
      <c r="M55" s="182">
        <v>0.15</v>
      </c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</row>
    <row r="56" spans="1:27" ht="12.75" customHeight="1" thickBot="1">
      <c r="A56" s="157"/>
      <c r="B56" s="157"/>
      <c r="C56" s="171" t="s">
        <v>2</v>
      </c>
      <c r="D56" s="172"/>
      <c r="E56" s="172"/>
      <c r="F56" s="172"/>
      <c r="G56" s="173"/>
      <c r="H56" s="173"/>
      <c r="I56" s="186"/>
      <c r="J56" s="186"/>
      <c r="K56" s="186">
        <v>0.125</v>
      </c>
      <c r="L56" s="186">
        <v>0.1</v>
      </c>
      <c r="M56" s="186">
        <v>7.4999999999999997E-2</v>
      </c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</row>
    <row r="57" spans="1:27" ht="12.75" customHeight="1" thickBot="1">
      <c r="A57" s="157"/>
      <c r="B57" s="157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</row>
    <row r="58" spans="1:27" ht="12.75" customHeight="1">
      <c r="A58" s="157"/>
      <c r="B58" s="157"/>
      <c r="C58" s="162" t="s">
        <v>29</v>
      </c>
      <c r="D58" s="163"/>
      <c r="E58" s="163"/>
      <c r="F58" s="176">
        <f>'Three Statement Model'!D79</f>
        <v>1</v>
      </c>
      <c r="G58" s="176">
        <f>'Three Statement Model'!E79</f>
        <v>1.5</v>
      </c>
      <c r="H58" s="176">
        <f>'Three Statement Model'!F79</f>
        <v>2.5</v>
      </c>
      <c r="I58" s="176">
        <f>'Three Statement Model'!G79</f>
        <v>2.4</v>
      </c>
      <c r="J58" s="176">
        <f>'Three Statement Model'!H79</f>
        <v>5.2</v>
      </c>
      <c r="K58" s="177">
        <f ca="1">K59*K10/365</f>
        <v>8.4</v>
      </c>
      <c r="L58" s="177">
        <f t="shared" ref="L58:M58" ca="1" si="16">L59*L10/365</f>
        <v>10.109589041095891</v>
      </c>
      <c r="M58" s="177">
        <f t="shared" ca="1" si="16"/>
        <v>10.716164383561642</v>
      </c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</row>
    <row r="59" spans="1:27" ht="12.75" customHeight="1">
      <c r="A59" s="157"/>
      <c r="B59" s="157"/>
      <c r="C59" s="164" t="s">
        <v>30</v>
      </c>
      <c r="D59" s="165"/>
      <c r="E59" s="165"/>
      <c r="F59" s="183">
        <f>(F58/(F10))*365</f>
        <v>43.975903614457827</v>
      </c>
      <c r="G59" s="183">
        <f t="shared" ref="G59:I59" si="17">(G58/(G10))*365</f>
        <v>66.768292682926841</v>
      </c>
      <c r="H59" s="183">
        <f t="shared" si="17"/>
        <v>29.918032786885245</v>
      </c>
      <c r="I59" s="183">
        <f t="shared" si="17"/>
        <v>73.613445378151255</v>
      </c>
      <c r="J59" s="183">
        <f>(J58/(J10))*365</f>
        <v>24.333333333333332</v>
      </c>
      <c r="K59" s="183">
        <f t="shared" ref="K59:M59" ca="1" si="18">+OFFSET(K59,$D$4,)</f>
        <v>30</v>
      </c>
      <c r="L59" s="183">
        <f t="shared" ca="1" si="18"/>
        <v>30</v>
      </c>
      <c r="M59" s="183">
        <f t="shared" ca="1" si="18"/>
        <v>30</v>
      </c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</row>
    <row r="60" spans="1:27" ht="12.75" customHeight="1">
      <c r="A60" s="157"/>
      <c r="B60" s="157"/>
      <c r="C60" s="168" t="s">
        <v>0</v>
      </c>
      <c r="D60" s="169"/>
      <c r="E60" s="166"/>
      <c r="G60" s="170"/>
      <c r="H60" s="170"/>
      <c r="I60" s="184"/>
      <c r="J60" s="184"/>
      <c r="K60" s="184">
        <v>30</v>
      </c>
      <c r="L60" s="184">
        <v>30</v>
      </c>
      <c r="M60" s="184">
        <v>30</v>
      </c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</row>
    <row r="61" spans="1:27" ht="12.75" customHeight="1">
      <c r="A61" s="157"/>
      <c r="B61" s="157"/>
      <c r="C61" s="168" t="s">
        <v>1</v>
      </c>
      <c r="G61" s="170"/>
      <c r="H61" s="170"/>
      <c r="I61" s="184"/>
      <c r="J61" s="184"/>
      <c r="K61" s="184">
        <v>40</v>
      </c>
      <c r="L61" s="184">
        <v>40</v>
      </c>
      <c r="M61" s="184">
        <v>40</v>
      </c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</row>
    <row r="62" spans="1:27" ht="12.75" customHeight="1" thickBot="1">
      <c r="A62" s="157"/>
      <c r="B62" s="157"/>
      <c r="C62" s="171" t="s">
        <v>2</v>
      </c>
      <c r="D62" s="172"/>
      <c r="E62" s="172"/>
      <c r="F62" s="172"/>
      <c r="G62" s="173"/>
      <c r="H62" s="173"/>
      <c r="I62" s="184"/>
      <c r="J62" s="184"/>
      <c r="K62" s="184">
        <v>20</v>
      </c>
      <c r="L62" s="184">
        <v>20</v>
      </c>
      <c r="M62" s="184">
        <v>20</v>
      </c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</row>
    <row r="63" spans="1:27" ht="12.75" customHeight="1" thickBot="1">
      <c r="A63" s="157"/>
      <c r="B63" s="157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87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</row>
    <row r="64" spans="1:27" ht="12.75" customHeight="1">
      <c r="A64" s="157"/>
      <c r="B64" s="157"/>
      <c r="C64" s="162" t="s">
        <v>31</v>
      </c>
      <c r="D64" s="163"/>
      <c r="E64" s="163"/>
      <c r="F64" s="176">
        <f>-'Three Statement Model'!D117</f>
        <v>0.3</v>
      </c>
      <c r="G64" s="176">
        <f>-'Three Statement Model'!E117</f>
        <v>0.2</v>
      </c>
      <c r="H64" s="176">
        <f>-'Three Statement Model'!F117</f>
        <v>0.2</v>
      </c>
      <c r="I64" s="176">
        <f>-'Three Statement Model'!G117</f>
        <v>0.2</v>
      </c>
      <c r="J64" s="176">
        <f>-'Three Statement Model'!H117</f>
        <v>0.5</v>
      </c>
      <c r="K64" s="177">
        <f ca="1">K10*K65</f>
        <v>1.5329999999999999</v>
      </c>
      <c r="L64" s="177">
        <f ca="1">L10*L65</f>
        <v>1.845</v>
      </c>
      <c r="M64" s="177">
        <f ca="1">M10*M65</f>
        <v>1.9556999999999998</v>
      </c>
      <c r="N64" s="187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</row>
    <row r="65" spans="1:27" ht="12.75" customHeight="1">
      <c r="A65" s="157"/>
      <c r="B65" s="157"/>
      <c r="C65" s="164" t="s">
        <v>20</v>
      </c>
      <c r="D65" s="165"/>
      <c r="E65" s="165"/>
      <c r="F65" s="178">
        <f>F64/F10</f>
        <v>3.614457831325301E-2</v>
      </c>
      <c r="G65" s="178">
        <f t="shared" ref="G65:J65" si="19">G64/G10</f>
        <v>2.4390243902439029E-2</v>
      </c>
      <c r="H65" s="178">
        <f t="shared" si="19"/>
        <v>6.5573770491803279E-3</v>
      </c>
      <c r="I65" s="178">
        <f t="shared" si="19"/>
        <v>1.680672268907563E-2</v>
      </c>
      <c r="J65" s="178">
        <f t="shared" si="19"/>
        <v>6.41025641025641E-3</v>
      </c>
      <c r="K65" s="178">
        <f t="shared" ref="K65:M65" ca="1" si="20">+OFFSET(K65,$D$4,)</f>
        <v>1.4999999999999999E-2</v>
      </c>
      <c r="L65" s="178">
        <f t="shared" ca="1" si="20"/>
        <v>1.4999999999999999E-2</v>
      </c>
      <c r="M65" s="188">
        <f t="shared" ca="1" si="20"/>
        <v>1.4999999999999999E-2</v>
      </c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</row>
    <row r="66" spans="1:27" ht="12.75" customHeight="1">
      <c r="A66" s="157"/>
      <c r="B66" s="157"/>
      <c r="C66" s="168" t="s">
        <v>0</v>
      </c>
      <c r="D66" s="169"/>
      <c r="E66" s="166"/>
      <c r="G66" s="170"/>
      <c r="H66" s="170"/>
      <c r="I66" s="182"/>
      <c r="J66" s="182"/>
      <c r="K66" s="182">
        <v>1.4999999999999999E-2</v>
      </c>
      <c r="L66" s="182">
        <v>1.4999999999999999E-2</v>
      </c>
      <c r="M66" s="182">
        <v>1.4999999999999999E-2</v>
      </c>
      <c r="N66" s="158"/>
      <c r="O66" s="158"/>
      <c r="P66" s="158"/>
      <c r="Q66" s="189"/>
      <c r="R66" s="189"/>
      <c r="S66" s="189"/>
      <c r="T66" s="189"/>
      <c r="U66" s="189"/>
      <c r="V66" s="158"/>
      <c r="W66" s="158"/>
      <c r="X66" s="158"/>
      <c r="Y66" s="158"/>
      <c r="Z66" s="158"/>
      <c r="AA66" s="158"/>
    </row>
    <row r="67" spans="1:27" ht="12.75" customHeight="1">
      <c r="A67" s="157"/>
      <c r="B67" s="157"/>
      <c r="C67" s="168" t="s">
        <v>1</v>
      </c>
      <c r="G67" s="170"/>
      <c r="H67" s="170"/>
      <c r="I67" s="182"/>
      <c r="J67" s="182"/>
      <c r="K67" s="182">
        <v>0.01</v>
      </c>
      <c r="L67" s="182">
        <v>0.01</v>
      </c>
      <c r="M67" s="182">
        <v>0.01</v>
      </c>
      <c r="N67" s="158"/>
      <c r="O67" s="158"/>
      <c r="P67" s="158"/>
      <c r="Q67" s="189"/>
      <c r="R67" s="189"/>
      <c r="S67" s="189"/>
      <c r="T67" s="189"/>
      <c r="U67" s="189"/>
      <c r="V67" s="158"/>
      <c r="W67" s="158"/>
      <c r="X67" s="158"/>
      <c r="Y67" s="158"/>
      <c r="Z67" s="158"/>
      <c r="AA67" s="158"/>
    </row>
    <row r="68" spans="1:27" ht="12.75" customHeight="1" thickBot="1">
      <c r="A68" s="157"/>
      <c r="B68" s="157"/>
      <c r="C68" s="171" t="s">
        <v>2</v>
      </c>
      <c r="D68" s="172"/>
      <c r="E68" s="172"/>
      <c r="F68" s="172"/>
      <c r="G68" s="173"/>
      <c r="H68" s="173"/>
      <c r="I68" s="182"/>
      <c r="J68" s="182"/>
      <c r="K68" s="182">
        <v>0.02</v>
      </c>
      <c r="L68" s="182">
        <v>0.02</v>
      </c>
      <c r="M68" s="182">
        <v>0.02</v>
      </c>
      <c r="N68" s="158"/>
      <c r="O68" s="158"/>
      <c r="P68" s="158"/>
      <c r="Q68" s="189"/>
      <c r="R68" s="189"/>
      <c r="S68" s="189"/>
      <c r="T68" s="189"/>
      <c r="U68" s="189"/>
      <c r="V68" s="158"/>
      <c r="W68" s="158"/>
      <c r="X68" s="158"/>
      <c r="Y68" s="158"/>
      <c r="Z68" s="158"/>
      <c r="AA68" s="158"/>
    </row>
    <row r="69" spans="1:27" ht="12.75" customHeight="1" thickBot="1">
      <c r="A69" s="157"/>
      <c r="B69" s="157"/>
      <c r="D69" s="310"/>
      <c r="E69" s="310"/>
      <c r="F69" s="310"/>
      <c r="G69" s="170"/>
      <c r="H69" s="170"/>
      <c r="I69" s="189"/>
      <c r="J69" s="189"/>
      <c r="K69" s="189"/>
      <c r="L69" s="189"/>
      <c r="M69" s="189"/>
      <c r="N69" s="158"/>
      <c r="O69" s="158"/>
      <c r="P69" s="158"/>
      <c r="Q69" s="189"/>
      <c r="R69" s="189"/>
      <c r="S69" s="189"/>
      <c r="T69" s="189"/>
      <c r="U69" s="189"/>
      <c r="V69" s="158"/>
      <c r="W69" s="158"/>
      <c r="X69" s="158"/>
      <c r="Y69" s="158"/>
      <c r="Z69" s="158"/>
      <c r="AA69" s="158"/>
    </row>
    <row r="70" spans="1:27" ht="15" customHeight="1">
      <c r="C70" s="162" t="s">
        <v>218</v>
      </c>
      <c r="D70" s="163"/>
      <c r="E70" s="163"/>
      <c r="F70" s="176">
        <v>2.8</v>
      </c>
      <c r="G70" s="176">
        <v>3.3</v>
      </c>
      <c r="H70" s="176">
        <v>4.8</v>
      </c>
      <c r="I70" s="176">
        <v>4.5999999999999996</v>
      </c>
      <c r="J70" s="176">
        <v>4.4000000000000004</v>
      </c>
      <c r="K70" s="177">
        <f ca="1">K10*K71</f>
        <v>5.1100000000000003</v>
      </c>
      <c r="L70" s="177">
        <f t="shared" ref="L70:M70" ca="1" si="21">L10*L71</f>
        <v>6.15</v>
      </c>
      <c r="M70" s="177">
        <f t="shared" ca="1" si="21"/>
        <v>6.5190000000000001</v>
      </c>
    </row>
    <row r="71" spans="1:27" ht="12.75" customHeight="1">
      <c r="A71" s="157"/>
      <c r="B71" s="157"/>
      <c r="C71" s="164" t="s">
        <v>20</v>
      </c>
      <c r="D71" s="165"/>
      <c r="E71" s="165"/>
      <c r="F71" s="178">
        <f>F70/F10</f>
        <v>0.33734939759036142</v>
      </c>
      <c r="G71" s="178">
        <f t="shared" ref="G71:J71" si="22">G70/G10</f>
        <v>0.40243902439024393</v>
      </c>
      <c r="H71" s="178">
        <f t="shared" si="22"/>
        <v>0.15737704918032785</v>
      </c>
      <c r="I71" s="178">
        <f t="shared" si="22"/>
        <v>0.38655462184873945</v>
      </c>
      <c r="J71" s="178">
        <f t="shared" si="22"/>
        <v>5.6410256410256418E-2</v>
      </c>
      <c r="K71" s="178">
        <f t="shared" ref="K71:M71" ca="1" si="23">+OFFSET(K71,$D$4,)</f>
        <v>0.05</v>
      </c>
      <c r="L71" s="178">
        <f t="shared" ca="1" si="23"/>
        <v>0.05</v>
      </c>
      <c r="M71" s="188">
        <f t="shared" ca="1" si="23"/>
        <v>0.05</v>
      </c>
      <c r="N71" s="158"/>
      <c r="O71" s="158"/>
      <c r="P71" s="158"/>
      <c r="Q71" s="189"/>
      <c r="R71" s="189"/>
      <c r="S71" s="189"/>
      <c r="T71" s="189"/>
      <c r="U71" s="189"/>
      <c r="V71" s="158"/>
      <c r="W71" s="158"/>
      <c r="X71" s="158"/>
      <c r="Y71" s="158"/>
      <c r="Z71" s="158"/>
      <c r="AA71" s="158"/>
    </row>
    <row r="72" spans="1:27" ht="12.75" customHeight="1">
      <c r="A72" s="157"/>
      <c r="B72" s="157"/>
      <c r="C72" s="168" t="s">
        <v>0</v>
      </c>
      <c r="D72" s="169"/>
      <c r="E72" s="166"/>
      <c r="G72" s="170"/>
      <c r="H72" s="170"/>
      <c r="I72" s="182"/>
      <c r="J72" s="182"/>
      <c r="K72" s="182">
        <v>0.05</v>
      </c>
      <c r="L72" s="182">
        <v>0.05</v>
      </c>
      <c r="M72" s="182">
        <v>0.05</v>
      </c>
      <c r="N72" s="158"/>
      <c r="O72" s="158"/>
      <c r="P72" s="158"/>
      <c r="Q72" s="189"/>
      <c r="R72" s="189"/>
      <c r="S72" s="189"/>
      <c r="T72" s="189"/>
      <c r="U72" s="189"/>
      <c r="V72" s="158"/>
      <c r="W72" s="158"/>
      <c r="X72" s="158"/>
      <c r="Y72" s="158"/>
      <c r="Z72" s="158"/>
      <c r="AA72" s="158"/>
    </row>
    <row r="73" spans="1:27" ht="12.75" customHeight="1">
      <c r="A73" s="157"/>
      <c r="B73" s="157"/>
      <c r="C73" s="168" t="s">
        <v>1</v>
      </c>
      <c r="G73" s="170"/>
      <c r="H73" s="170"/>
      <c r="I73" s="182"/>
      <c r="J73" s="182"/>
      <c r="K73" s="182">
        <v>0.08</v>
      </c>
      <c r="L73" s="182">
        <v>0.08</v>
      </c>
      <c r="M73" s="182">
        <v>0.08</v>
      </c>
      <c r="N73" s="158"/>
      <c r="O73" s="158"/>
      <c r="P73" s="158"/>
      <c r="Q73" s="189"/>
      <c r="R73" s="189"/>
      <c r="S73" s="189"/>
      <c r="T73" s="189"/>
      <c r="U73" s="189"/>
      <c r="V73" s="158"/>
      <c r="W73" s="158"/>
      <c r="X73" s="158"/>
      <c r="Y73" s="158"/>
      <c r="Z73" s="158"/>
      <c r="AA73" s="158"/>
    </row>
    <row r="74" spans="1:27" ht="12.75" customHeight="1" thickBot="1">
      <c r="A74" s="157"/>
      <c r="B74" s="157"/>
      <c r="C74" s="171" t="s">
        <v>2</v>
      </c>
      <c r="D74" s="172"/>
      <c r="E74" s="172"/>
      <c r="F74" s="172"/>
      <c r="G74" s="173"/>
      <c r="H74" s="173"/>
      <c r="I74" s="182"/>
      <c r="J74" s="182"/>
      <c r="K74" s="182">
        <v>0.03</v>
      </c>
      <c r="L74" s="182">
        <v>0.03</v>
      </c>
      <c r="M74" s="182">
        <v>0.03</v>
      </c>
      <c r="N74" s="158"/>
      <c r="O74" s="158"/>
      <c r="P74" s="158"/>
      <c r="Q74" s="189"/>
      <c r="R74" s="189"/>
      <c r="S74" s="189"/>
      <c r="T74" s="189"/>
      <c r="U74" s="189"/>
      <c r="V74" s="158"/>
      <c r="W74" s="158"/>
      <c r="X74" s="158"/>
      <c r="Y74" s="158"/>
      <c r="Z74" s="158"/>
      <c r="AA74" s="158"/>
    </row>
    <row r="75" spans="1:27" ht="12.75" customHeight="1" thickBot="1">
      <c r="A75" s="157"/>
      <c r="B75" s="157"/>
      <c r="C75" s="174"/>
      <c r="G75" s="170"/>
      <c r="H75" s="170"/>
      <c r="I75" s="189"/>
      <c r="J75" s="189"/>
      <c r="K75" s="189"/>
      <c r="L75" s="189"/>
      <c r="M75" s="189"/>
      <c r="N75" s="175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</row>
    <row r="76" spans="1:27" ht="12.75" customHeight="1">
      <c r="A76" s="157"/>
      <c r="B76" s="157"/>
      <c r="C76" s="162" t="s">
        <v>32</v>
      </c>
      <c r="D76" s="163"/>
      <c r="E76" s="163"/>
      <c r="F76" s="325">
        <f>'Three Statement Model'!D52/'Three Statement Model'!D47</f>
        <v>0.13333333333333339</v>
      </c>
      <c r="G76" s="325">
        <f>'Three Statement Model'!E52/'Three Statement Model'!E47</f>
        <v>0.14925373134328357</v>
      </c>
      <c r="H76" s="325">
        <f>'Three Statement Model'!F52/'Three Statement Model'!F47</f>
        <v>0.99999999999999845</v>
      </c>
      <c r="I76" s="325">
        <f>'Three Statement Model'!G52/'Three Statement Model'!G47</f>
        <v>5.1724137931034482E-2</v>
      </c>
      <c r="J76" s="325">
        <f>'Three Statement Model'!H52/'Three Statement Model'!H47</f>
        <v>-0.12500000000000003</v>
      </c>
      <c r="K76" s="190">
        <f t="shared" ref="K76:M76" ca="1" si="24">+OFFSET(K76,$D$4,)</f>
        <v>0.13</v>
      </c>
      <c r="L76" s="190">
        <f t="shared" ca="1" si="24"/>
        <v>0.15</v>
      </c>
      <c r="M76" s="191">
        <f t="shared" ca="1" si="24"/>
        <v>0.16</v>
      </c>
      <c r="N76" s="175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</row>
    <row r="77" spans="1:27" ht="12.75" customHeight="1">
      <c r="A77" s="157"/>
      <c r="B77" s="157"/>
      <c r="C77" s="168" t="s">
        <v>0</v>
      </c>
      <c r="D77" s="169"/>
      <c r="E77" s="166"/>
      <c r="G77" s="170"/>
      <c r="H77" s="170"/>
      <c r="I77" s="182"/>
      <c r="J77" s="182"/>
      <c r="K77" s="182">
        <v>0.13</v>
      </c>
      <c r="L77" s="182">
        <v>0.15</v>
      </c>
      <c r="M77" s="182">
        <v>0.16</v>
      </c>
      <c r="N77" s="175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</row>
    <row r="78" spans="1:27" ht="12.75" customHeight="1">
      <c r="A78" s="157"/>
      <c r="B78" s="157"/>
      <c r="C78" s="168" t="s">
        <v>1</v>
      </c>
      <c r="G78" s="170"/>
      <c r="H78" s="170"/>
      <c r="I78" s="182"/>
      <c r="J78" s="182"/>
      <c r="K78" s="182">
        <v>0.12</v>
      </c>
      <c r="L78" s="182">
        <v>0.14000000000000001</v>
      </c>
      <c r="M78" s="182">
        <v>0.15</v>
      </c>
      <c r="N78" s="175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</row>
    <row r="79" spans="1:27" ht="12.75" customHeight="1" thickBot="1">
      <c r="A79" s="157"/>
      <c r="B79" s="157"/>
      <c r="C79" s="171" t="s">
        <v>2</v>
      </c>
      <c r="D79" s="172"/>
      <c r="E79" s="172"/>
      <c r="F79" s="172"/>
      <c r="G79" s="173"/>
      <c r="H79" s="173"/>
      <c r="I79" s="182"/>
      <c r="J79" s="182"/>
      <c r="K79" s="182">
        <v>0.14000000000000001</v>
      </c>
      <c r="L79" s="182">
        <v>0.16</v>
      </c>
      <c r="M79" s="182">
        <v>0.18</v>
      </c>
      <c r="N79" s="175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</row>
    <row r="80" spans="1:27" ht="12.75" customHeight="1" thickBot="1">
      <c r="A80" s="157"/>
      <c r="B80" s="157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75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</row>
    <row r="81" spans="1:27" ht="12.75" customHeight="1">
      <c r="A81" s="157"/>
      <c r="B81" s="157"/>
      <c r="C81" s="162" t="s">
        <v>33</v>
      </c>
      <c r="D81" s="163"/>
      <c r="E81" s="163"/>
      <c r="F81" s="176">
        <f>'Three Statement Model'!D80+'Three Statement Model'!D82</f>
        <v>0.6</v>
      </c>
      <c r="G81" s="176"/>
      <c r="H81" s="176"/>
      <c r="I81" s="177">
        <f ca="1">I82*H14</f>
        <v>1.2675000000000001</v>
      </c>
      <c r="J81" s="177">
        <f ca="1">J82*I14</f>
        <v>0.55249999999999999</v>
      </c>
      <c r="K81" s="177">
        <f ca="1">K82*J14</f>
        <v>5.9510000000000005</v>
      </c>
      <c r="L81" s="177">
        <f ca="1">L82*K14</f>
        <v>7.5883500000000002</v>
      </c>
      <c r="M81" s="192">
        <f ca="1">M82*L14</f>
        <v>8.7945000000000011</v>
      </c>
      <c r="N81" s="175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</row>
    <row r="82" spans="1:27" ht="12.75" customHeight="1">
      <c r="A82" s="157"/>
      <c r="B82" s="157"/>
      <c r="C82" s="164" t="s">
        <v>34</v>
      </c>
      <c r="D82" s="165"/>
      <c r="E82" s="165"/>
      <c r="F82" s="178">
        <f>F81/F14</f>
        <v>0.11764705882352941</v>
      </c>
      <c r="G82" s="178">
        <f t="shared" ref="G82:J82" si="25">G81/G14</f>
        <v>0</v>
      </c>
      <c r="H82" s="178">
        <f t="shared" si="25"/>
        <v>0</v>
      </c>
      <c r="I82" s="178">
        <f t="shared" ca="1" si="25"/>
        <v>0.11764705882352941</v>
      </c>
      <c r="J82" s="178">
        <f t="shared" ca="1" si="25"/>
        <v>0.11764705882352941</v>
      </c>
      <c r="K82" s="178">
        <f t="shared" ref="K82:M82" ca="1" si="26">+OFFSET(K82,$D$4,)</f>
        <v>0.11</v>
      </c>
      <c r="L82" s="178">
        <f t="shared" ca="1" si="26"/>
        <v>0.11</v>
      </c>
      <c r="M82" s="188">
        <f t="shared" ca="1" si="26"/>
        <v>0.11</v>
      </c>
      <c r="N82" s="175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</row>
    <row r="83" spans="1:27" ht="12.75" customHeight="1">
      <c r="A83" s="157"/>
      <c r="B83" s="157"/>
      <c r="C83" s="168" t="s">
        <v>0</v>
      </c>
      <c r="D83" s="169"/>
      <c r="E83" s="166"/>
      <c r="G83" s="170"/>
      <c r="H83" s="170"/>
      <c r="I83" s="182"/>
      <c r="J83" s="182"/>
      <c r="K83" s="182">
        <v>0.11</v>
      </c>
      <c r="L83" s="182">
        <v>0.11</v>
      </c>
      <c r="M83" s="182">
        <v>0.11</v>
      </c>
      <c r="N83" s="175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</row>
    <row r="84" spans="1:27" ht="12.75" customHeight="1">
      <c r="A84" s="157"/>
      <c r="B84" s="157"/>
      <c r="C84" s="168" t="s">
        <v>1</v>
      </c>
      <c r="G84" s="170"/>
      <c r="H84" s="170"/>
      <c r="I84" s="182"/>
      <c r="J84" s="182"/>
      <c r="K84" s="182">
        <v>0.06</v>
      </c>
      <c r="L84" s="182">
        <v>0.06</v>
      </c>
      <c r="M84" s="182">
        <v>0.06</v>
      </c>
      <c r="N84" s="175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</row>
    <row r="85" spans="1:27" ht="12.75" customHeight="1" thickBot="1">
      <c r="A85" s="157"/>
      <c r="B85" s="157"/>
      <c r="C85" s="171" t="s">
        <v>2</v>
      </c>
      <c r="D85" s="172"/>
      <c r="E85" s="172"/>
      <c r="F85" s="172"/>
      <c r="G85" s="173"/>
      <c r="H85" s="173"/>
      <c r="I85" s="182"/>
      <c r="J85" s="182"/>
      <c r="K85" s="182">
        <v>0.14000000000000001</v>
      </c>
      <c r="L85" s="182">
        <v>0.14000000000000001</v>
      </c>
      <c r="M85" s="182">
        <v>0.14000000000000001</v>
      </c>
      <c r="N85" s="175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</row>
    <row r="86" spans="1:27" ht="12.75" customHeight="1" thickBot="1">
      <c r="A86" s="157"/>
      <c r="B86" s="157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75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</row>
    <row r="87" spans="1:27" ht="12.75" customHeight="1">
      <c r="A87" s="157"/>
      <c r="B87" s="157"/>
      <c r="C87" s="162" t="s">
        <v>35</v>
      </c>
      <c r="D87" s="163"/>
      <c r="E87" s="163"/>
      <c r="F87" s="176">
        <f>'Three Statement Model'!D81</f>
        <v>8.8000000000000007</v>
      </c>
      <c r="G87" s="176"/>
      <c r="H87" s="176"/>
      <c r="I87" s="177">
        <f ca="1">I88*H14</f>
        <v>0</v>
      </c>
      <c r="J87" s="177">
        <f ca="1">J88*I14</f>
        <v>0</v>
      </c>
      <c r="K87" s="177">
        <f t="shared" ref="K87:L87" ca="1" si="27">K88*J14</f>
        <v>0</v>
      </c>
      <c r="L87" s="177">
        <f t="shared" ca="1" si="27"/>
        <v>0</v>
      </c>
      <c r="M87" s="192">
        <f ca="1">M88*L14</f>
        <v>0</v>
      </c>
      <c r="N87" s="175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</row>
    <row r="88" spans="1:27" ht="12.75" customHeight="1">
      <c r="A88" s="157"/>
      <c r="B88" s="157"/>
      <c r="C88" s="164" t="s">
        <v>34</v>
      </c>
      <c r="D88" s="165"/>
      <c r="E88" s="165"/>
      <c r="F88" s="178">
        <f>F87/H14</f>
        <v>0.45128205128205134</v>
      </c>
      <c r="G88" s="178">
        <f t="shared" ref="G88:H88" si="28">G87/I14</f>
        <v>0</v>
      </c>
      <c r="H88" s="178">
        <f t="shared" si="28"/>
        <v>0</v>
      </c>
      <c r="I88" s="178">
        <f ca="1">I87/I14</f>
        <v>0</v>
      </c>
      <c r="J88" s="178">
        <f ca="1">J87/J14</f>
        <v>0</v>
      </c>
      <c r="K88" s="178">
        <f t="shared" ref="K88:M88" ca="1" si="29">+OFFSET(K88,$D$4,)</f>
        <v>0</v>
      </c>
      <c r="L88" s="178">
        <f t="shared" ca="1" si="29"/>
        <v>0</v>
      </c>
      <c r="M88" s="188">
        <f t="shared" ca="1" si="29"/>
        <v>0</v>
      </c>
      <c r="N88" s="175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</row>
    <row r="89" spans="1:27" ht="12.75" customHeight="1">
      <c r="A89" s="157"/>
      <c r="B89" s="157"/>
      <c r="C89" s="168" t="s">
        <v>0</v>
      </c>
      <c r="D89" s="169"/>
      <c r="E89" s="166"/>
      <c r="G89" s="170"/>
      <c r="H89" s="170"/>
      <c r="I89" s="182"/>
      <c r="J89" s="182"/>
      <c r="K89" s="182">
        <v>0</v>
      </c>
      <c r="L89" s="182">
        <v>0</v>
      </c>
      <c r="M89" s="182">
        <v>0</v>
      </c>
      <c r="N89" s="175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</row>
    <row r="90" spans="1:27" ht="12.75" customHeight="1">
      <c r="A90" s="157"/>
      <c r="B90" s="157"/>
      <c r="C90" s="168" t="s">
        <v>1</v>
      </c>
      <c r="G90" s="170"/>
      <c r="H90" s="170"/>
      <c r="I90" s="182"/>
      <c r="J90" s="182"/>
      <c r="K90" s="182">
        <v>0</v>
      </c>
      <c r="L90" s="182">
        <v>0</v>
      </c>
      <c r="M90" s="182">
        <v>0</v>
      </c>
      <c r="N90" s="175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</row>
    <row r="91" spans="1:27" ht="12.75" customHeight="1" thickBot="1">
      <c r="A91" s="157"/>
      <c r="B91" s="157"/>
      <c r="C91" s="171" t="s">
        <v>2</v>
      </c>
      <c r="D91" s="172"/>
      <c r="E91" s="172"/>
      <c r="F91" s="172"/>
      <c r="G91" s="173"/>
      <c r="H91" s="173"/>
      <c r="I91" s="182"/>
      <c r="J91" s="182"/>
      <c r="K91" s="182">
        <v>5.0000000000000001E-4</v>
      </c>
      <c r="L91" s="182">
        <v>5.0000000000000001E-4</v>
      </c>
      <c r="M91" s="182">
        <v>5.0000000000000001E-4</v>
      </c>
      <c r="N91" s="175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</row>
    <row r="92" spans="1:27" ht="12.75" customHeight="1" thickBot="1">
      <c r="A92" s="157"/>
      <c r="B92" s="157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75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</row>
    <row r="93" spans="1:27" ht="12.75" customHeight="1">
      <c r="A93" s="157"/>
      <c r="B93" s="157"/>
      <c r="C93" s="162" t="s">
        <v>36</v>
      </c>
      <c r="D93" s="163"/>
      <c r="E93" s="163"/>
      <c r="F93" s="176">
        <f>-'Three Statement Model'!D43</f>
        <v>0.6</v>
      </c>
      <c r="G93" s="176">
        <f>-'Three Statement Model'!E43</f>
        <v>0.6</v>
      </c>
      <c r="H93" s="176">
        <f>-'Three Statement Model'!F43</f>
        <v>0.8</v>
      </c>
      <c r="I93" s="176">
        <f>-'Three Statement Model'!G43</f>
        <v>1</v>
      </c>
      <c r="J93" s="176">
        <f>-'Three Statement Model'!H43</f>
        <v>1.9</v>
      </c>
      <c r="K93" s="177">
        <f ca="1">K94*J14</f>
        <v>0.67625000000000002</v>
      </c>
      <c r="L93" s="177">
        <f ca="1">L94*K14</f>
        <v>0.86231250000000004</v>
      </c>
      <c r="M93" s="192">
        <f ca="1">M94*L14</f>
        <v>0.99937500000000012</v>
      </c>
      <c r="N93" s="175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</row>
    <row r="94" spans="1:27" ht="12.75" customHeight="1">
      <c r="A94" s="157"/>
      <c r="B94" s="157"/>
      <c r="C94" s="164" t="s">
        <v>37</v>
      </c>
      <c r="D94" s="165"/>
      <c r="E94" s="165"/>
      <c r="F94" s="178">
        <f>F93/H10</f>
        <v>1.9672131147540982E-2</v>
      </c>
      <c r="G94" s="178">
        <f t="shared" ref="G94:J94" si="30">G93/I10</f>
        <v>5.0420168067226885E-2</v>
      </c>
      <c r="H94" s="178">
        <f t="shared" si="30"/>
        <v>1.0256410256410256E-2</v>
      </c>
      <c r="I94" s="178">
        <f t="shared" si="30"/>
        <v>9.7847358121330719E-3</v>
      </c>
      <c r="J94" s="178">
        <f t="shared" si="30"/>
        <v>1.5447154471544714E-2</v>
      </c>
      <c r="K94" s="178">
        <f t="shared" ref="K94:M94" ca="1" si="31">+OFFSET(K94,$D$4,)</f>
        <v>1.2500000000000001E-2</v>
      </c>
      <c r="L94" s="178">
        <f t="shared" ca="1" si="31"/>
        <v>1.2500000000000001E-2</v>
      </c>
      <c r="M94" s="188">
        <f t="shared" ca="1" si="31"/>
        <v>1.2500000000000001E-2</v>
      </c>
      <c r="N94" s="175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</row>
    <row r="95" spans="1:27" ht="12.75" customHeight="1">
      <c r="A95" s="157"/>
      <c r="B95" s="157"/>
      <c r="C95" s="168" t="s">
        <v>0</v>
      </c>
      <c r="D95" s="169"/>
      <c r="E95" s="166"/>
      <c r="G95" s="170"/>
      <c r="H95" s="170"/>
      <c r="I95" s="182"/>
      <c r="J95" s="182"/>
      <c r="K95" s="182">
        <v>1.2500000000000001E-2</v>
      </c>
      <c r="L95" s="182">
        <v>1.2500000000000001E-2</v>
      </c>
      <c r="M95" s="182">
        <v>1.2500000000000001E-2</v>
      </c>
      <c r="N95" s="175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spans="1:27" ht="12.75" customHeight="1">
      <c r="A96" s="157"/>
      <c r="B96" s="157"/>
      <c r="C96" s="168" t="s">
        <v>1</v>
      </c>
      <c r="G96" s="170"/>
      <c r="H96" s="170"/>
      <c r="I96" s="182"/>
      <c r="J96" s="182"/>
      <c r="K96" s="182">
        <v>8.0000000000000002E-3</v>
      </c>
      <c r="L96" s="182">
        <v>8.0000000000000002E-3</v>
      </c>
      <c r="M96" s="182">
        <v>8.0000000000000002E-3</v>
      </c>
      <c r="N96" s="175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spans="1:27" ht="12.75" customHeight="1" thickBot="1">
      <c r="A97" s="157"/>
      <c r="B97" s="157"/>
      <c r="C97" s="171" t="s">
        <v>2</v>
      </c>
      <c r="D97" s="172"/>
      <c r="E97" s="172"/>
      <c r="F97" s="172"/>
      <c r="G97" s="173"/>
      <c r="H97" s="173"/>
      <c r="I97" s="182"/>
      <c r="J97" s="182"/>
      <c r="K97" s="182">
        <v>1.4999999999999999E-2</v>
      </c>
      <c r="L97" s="182">
        <v>1.4999999999999999E-2</v>
      </c>
      <c r="M97" s="182">
        <v>1.4999999999999999E-2</v>
      </c>
      <c r="N97" s="175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spans="1:27" ht="12.75" customHeight="1" thickBot="1">
      <c r="A98" s="157"/>
      <c r="B98" s="157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75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spans="1:27" ht="12.75" customHeight="1">
      <c r="A99" s="157"/>
      <c r="B99" s="157"/>
      <c r="C99" s="162" t="s">
        <v>214</v>
      </c>
      <c r="D99" s="163"/>
      <c r="E99" s="163"/>
      <c r="F99" s="176">
        <f>'Three Statement Model'!D129</f>
        <v>2</v>
      </c>
      <c r="G99" s="176">
        <f>'Three Statement Model'!E129</f>
        <v>4.9000000000000004</v>
      </c>
      <c r="H99" s="176">
        <f>'Three Statement Model'!F129</f>
        <v>0.1</v>
      </c>
      <c r="I99" s="176">
        <f>'Three Statement Model'!G129</f>
        <v>12.8</v>
      </c>
      <c r="J99" s="176">
        <f>'Three Statement Model'!H129</f>
        <v>9.5</v>
      </c>
      <c r="K99" s="177">
        <f ca="1">H10*K100</f>
        <v>3.0500000000000003</v>
      </c>
      <c r="L99" s="177">
        <f ca="1">I10*L100</f>
        <v>0.89249999999999996</v>
      </c>
      <c r="M99" s="177">
        <f ca="1">J10*M100</f>
        <v>3.9000000000000004</v>
      </c>
      <c r="N99" s="175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spans="1:27" ht="12.75" customHeight="1">
      <c r="A100" s="157"/>
      <c r="B100" s="157"/>
      <c r="C100" s="164" t="s">
        <v>20</v>
      </c>
      <c r="D100" s="165"/>
      <c r="E100" s="165"/>
      <c r="F100" s="178">
        <f>F99/F10</f>
        <v>0.24096385542168672</v>
      </c>
      <c r="G100" s="178">
        <f t="shared" ref="G100:J100" si="32">G99/G10</f>
        <v>0.59756097560975618</v>
      </c>
      <c r="H100" s="178">
        <f t="shared" si="32"/>
        <v>3.2786885245901639E-3</v>
      </c>
      <c r="I100" s="178">
        <f t="shared" si="32"/>
        <v>1.0756302521008403</v>
      </c>
      <c r="J100" s="178">
        <f t="shared" si="32"/>
        <v>0.12179487179487179</v>
      </c>
      <c r="K100" s="178">
        <f t="shared" ref="K100:M100" ca="1" si="33">+OFFSET(K100,$D$4,)</f>
        <v>0.1</v>
      </c>
      <c r="L100" s="178">
        <f t="shared" ca="1" si="33"/>
        <v>7.4999999999999997E-2</v>
      </c>
      <c r="M100" s="188">
        <f t="shared" ca="1" si="33"/>
        <v>0.05</v>
      </c>
      <c r="N100" s="175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</row>
    <row r="101" spans="1:27" ht="12.75" customHeight="1">
      <c r="A101" s="157"/>
      <c r="B101" s="157"/>
      <c r="C101" s="168" t="s">
        <v>0</v>
      </c>
      <c r="D101" s="169"/>
      <c r="E101" s="166"/>
      <c r="G101" s="170"/>
      <c r="H101" s="170"/>
      <c r="I101" s="182"/>
      <c r="J101" s="182"/>
      <c r="K101" s="182">
        <v>0.1</v>
      </c>
      <c r="L101" s="182">
        <v>7.4999999999999997E-2</v>
      </c>
      <c r="M101" s="182">
        <v>0.05</v>
      </c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</row>
    <row r="102" spans="1:27" ht="12.75" customHeight="1">
      <c r="A102" s="157"/>
      <c r="B102" s="157"/>
      <c r="C102" s="168" t="s">
        <v>1</v>
      </c>
      <c r="G102" s="170"/>
      <c r="H102" s="170"/>
      <c r="I102" s="182"/>
      <c r="J102" s="182"/>
      <c r="K102" s="182">
        <v>0.05</v>
      </c>
      <c r="L102" s="182">
        <v>0.03</v>
      </c>
      <c r="M102" s="182">
        <v>1.4999999999999999E-2</v>
      </c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</row>
    <row r="103" spans="1:27" ht="12.75" customHeight="1" thickBot="1">
      <c r="A103" s="157"/>
      <c r="B103" s="157"/>
      <c r="C103" s="171" t="s">
        <v>2</v>
      </c>
      <c r="D103" s="172"/>
      <c r="E103" s="172"/>
      <c r="F103" s="172"/>
      <c r="G103" s="173"/>
      <c r="H103" s="173"/>
      <c r="I103" s="182"/>
      <c r="J103" s="182"/>
      <c r="K103" s="182">
        <v>0.12</v>
      </c>
      <c r="L103" s="182">
        <v>0.1</v>
      </c>
      <c r="M103" s="182">
        <v>0.08</v>
      </c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</row>
    <row r="104" spans="1:27" ht="12.75" customHeight="1">
      <c r="A104" s="157"/>
      <c r="B104" s="157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75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</row>
    <row r="105" spans="1:27" ht="12.75" customHeight="1">
      <c r="A105" s="157"/>
      <c r="B105" s="157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</row>
    <row r="106" spans="1:27" ht="12.75" customHeight="1">
      <c r="A106" s="157"/>
      <c r="B106" s="157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</row>
    <row r="107" spans="1:27" ht="12.75" customHeight="1">
      <c r="A107" s="157"/>
      <c r="B107" s="157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</row>
    <row r="108" spans="1:27" ht="12.75" customHeight="1">
      <c r="A108" s="157"/>
      <c r="B108" s="157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</row>
    <row r="109" spans="1:27" ht="12.75" customHeight="1">
      <c r="A109" s="157"/>
      <c r="B109" s="157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</row>
    <row r="110" spans="1:27" ht="12.75" customHeight="1">
      <c r="A110" s="157"/>
      <c r="B110" s="157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</row>
    <row r="111" spans="1:27" ht="12.75" customHeight="1">
      <c r="A111" s="157"/>
      <c r="B111" s="157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</row>
    <row r="112" spans="1:27" ht="12.75" customHeight="1">
      <c r="A112" s="157"/>
      <c r="B112" s="157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</row>
    <row r="113" spans="1:27" ht="12.75" customHeight="1">
      <c r="A113" s="157"/>
      <c r="B113" s="157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</row>
    <row r="114" spans="1:27" ht="12.75" customHeight="1">
      <c r="A114" s="157"/>
      <c r="B114" s="157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</row>
    <row r="115" spans="1:27" ht="12.75" customHeight="1">
      <c r="A115" s="157"/>
      <c r="B115" s="157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</row>
    <row r="116" spans="1:27" ht="12.75" customHeight="1">
      <c r="A116" s="157"/>
      <c r="B116" s="157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</row>
    <row r="117" spans="1:27" ht="12.75" customHeight="1">
      <c r="A117" s="157"/>
      <c r="B117" s="157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</row>
    <row r="118" spans="1:27" ht="12.75" customHeight="1">
      <c r="A118" s="157"/>
      <c r="B118" s="157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</row>
    <row r="119" spans="1:27" ht="12.75" customHeight="1">
      <c r="A119" s="157"/>
      <c r="B119" s="157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</row>
    <row r="120" spans="1:27" ht="12.75" customHeight="1">
      <c r="A120" s="157"/>
      <c r="B120" s="157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</row>
    <row r="121" spans="1:27" ht="12.75" customHeight="1">
      <c r="A121" s="157"/>
      <c r="B121" s="157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</row>
    <row r="122" spans="1:27" ht="12.75" customHeight="1">
      <c r="A122" s="157"/>
      <c r="B122" s="157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</row>
    <row r="123" spans="1:27" ht="12.75" customHeight="1">
      <c r="A123" s="157"/>
      <c r="B123" s="157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</row>
    <row r="124" spans="1:27" ht="12.75" customHeight="1">
      <c r="A124" s="157"/>
      <c r="B124" s="157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</row>
    <row r="125" spans="1:27" ht="12.75" customHeight="1">
      <c r="A125" s="157"/>
      <c r="B125" s="157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</row>
    <row r="126" spans="1:27" ht="12.75" customHeight="1">
      <c r="A126" s="157"/>
      <c r="B126" s="157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</row>
    <row r="127" spans="1:27" ht="12.75" customHeight="1">
      <c r="A127" s="157"/>
      <c r="B127" s="157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 spans="1:27" ht="12.75" customHeight="1">
      <c r="A128" s="157"/>
      <c r="B128" s="157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</row>
    <row r="129" spans="1:27" ht="12.75" customHeight="1">
      <c r="A129" s="157"/>
      <c r="B129" s="157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</row>
    <row r="130" spans="1:27" ht="12.75" customHeight="1">
      <c r="A130" s="157"/>
      <c r="B130" s="157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</row>
    <row r="131" spans="1:27" ht="12.75" customHeight="1">
      <c r="A131" s="157"/>
      <c r="B131" s="157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</row>
    <row r="132" spans="1:27" ht="12.75" customHeight="1">
      <c r="A132" s="157"/>
      <c r="B132" s="157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</row>
    <row r="133" spans="1:27" ht="12.75" customHeight="1">
      <c r="A133" s="157"/>
      <c r="B133" s="157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</row>
    <row r="134" spans="1:27" ht="12.75" customHeight="1">
      <c r="A134" s="157"/>
      <c r="B134" s="157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</row>
    <row r="135" spans="1:27" ht="12.75" customHeight="1">
      <c r="A135" s="157"/>
      <c r="B135" s="157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</row>
    <row r="136" spans="1:27" ht="12.75" customHeight="1">
      <c r="A136" s="157"/>
      <c r="B136" s="157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</row>
    <row r="137" spans="1:27" ht="12.75" customHeight="1">
      <c r="A137" s="157"/>
      <c r="B137" s="157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</row>
    <row r="138" spans="1:27" ht="12.75" customHeight="1">
      <c r="A138" s="157"/>
      <c r="B138" s="157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</row>
    <row r="139" spans="1:27" ht="12.75" customHeight="1">
      <c r="A139" s="157"/>
      <c r="B139" s="157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</row>
    <row r="140" spans="1:27" ht="12.75" customHeight="1">
      <c r="A140" s="157"/>
      <c r="B140" s="157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</row>
    <row r="141" spans="1:27" ht="12.75" customHeight="1">
      <c r="A141" s="157"/>
      <c r="B141" s="157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</row>
    <row r="142" spans="1:27" ht="12.75" customHeight="1">
      <c r="A142" s="157"/>
      <c r="B142" s="157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</row>
    <row r="143" spans="1:27" ht="12.75" customHeight="1">
      <c r="A143" s="157"/>
      <c r="B143" s="157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</row>
    <row r="144" spans="1:27" ht="12.75" customHeight="1">
      <c r="A144" s="157"/>
      <c r="B144" s="157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</row>
    <row r="145" spans="1:27" ht="12.75" customHeight="1">
      <c r="A145" s="157"/>
      <c r="B145" s="157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</row>
    <row r="146" spans="1:27" ht="12.75" customHeight="1">
      <c r="A146" s="157"/>
      <c r="B146" s="157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</row>
    <row r="147" spans="1:27" ht="12.75" customHeight="1">
      <c r="A147" s="157"/>
      <c r="B147" s="157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</row>
    <row r="148" spans="1:27" ht="12.75" customHeight="1">
      <c r="A148" s="157"/>
      <c r="B148" s="157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</row>
    <row r="149" spans="1:27" ht="12.75" customHeight="1">
      <c r="A149" s="157"/>
      <c r="B149" s="157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</row>
    <row r="150" spans="1:27" ht="12.75" customHeight="1">
      <c r="A150" s="157"/>
      <c r="B150" s="157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</row>
    <row r="151" spans="1:27" ht="12.75" customHeight="1">
      <c r="A151" s="157"/>
      <c r="B151" s="157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</row>
    <row r="152" spans="1:27" ht="12.75" customHeight="1">
      <c r="A152" s="157"/>
      <c r="B152" s="157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</row>
    <row r="153" spans="1:27" ht="12.75" customHeight="1">
      <c r="A153" s="157"/>
      <c r="B153" s="157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</row>
    <row r="154" spans="1:27" ht="12.75" customHeight="1">
      <c r="A154" s="157"/>
      <c r="B154" s="157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</row>
    <row r="155" spans="1:27" ht="12.75" customHeight="1">
      <c r="A155" s="157"/>
      <c r="B155" s="157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</row>
    <row r="156" spans="1:27" ht="12.75" customHeight="1">
      <c r="A156" s="157"/>
      <c r="B156" s="157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</row>
    <row r="157" spans="1:27" ht="12.75" customHeight="1">
      <c r="A157" s="157"/>
      <c r="B157" s="157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</row>
    <row r="158" spans="1:27" ht="12.75" customHeight="1">
      <c r="A158" s="157"/>
      <c r="B158" s="157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</row>
    <row r="159" spans="1:27" ht="12.75" customHeight="1">
      <c r="A159" s="157"/>
      <c r="B159" s="157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</row>
    <row r="160" spans="1:27" ht="12.75" customHeight="1">
      <c r="A160" s="157"/>
      <c r="B160" s="157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</row>
    <row r="161" spans="1:27" ht="12.75" customHeight="1">
      <c r="A161" s="157"/>
      <c r="B161" s="157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</row>
    <row r="162" spans="1:27" ht="12.75" customHeight="1">
      <c r="A162" s="157"/>
      <c r="B162" s="157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</row>
    <row r="163" spans="1:27" ht="12.75" customHeight="1">
      <c r="A163" s="157"/>
      <c r="B163" s="157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</row>
    <row r="164" spans="1:27" ht="12.75" customHeight="1">
      <c r="A164" s="157"/>
      <c r="B164" s="157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</row>
    <row r="165" spans="1:27" ht="12.75" customHeight="1">
      <c r="A165" s="157"/>
      <c r="B165" s="157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</row>
    <row r="166" spans="1:27" ht="12.75" customHeight="1">
      <c r="A166" s="157"/>
      <c r="B166" s="157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</row>
    <row r="167" spans="1:27" ht="12.75" customHeight="1">
      <c r="A167" s="157"/>
      <c r="B167" s="157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</row>
    <row r="168" spans="1:27" ht="12.75" customHeight="1">
      <c r="A168" s="157"/>
      <c r="B168" s="157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</row>
    <row r="169" spans="1:27" ht="12.75" customHeight="1">
      <c r="A169" s="157"/>
      <c r="B169" s="157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</row>
    <row r="170" spans="1:27" ht="12.75" customHeight="1">
      <c r="A170" s="157"/>
      <c r="B170" s="157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</row>
    <row r="171" spans="1:27" ht="12.75" customHeight="1">
      <c r="A171" s="157"/>
      <c r="B171" s="157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</row>
    <row r="172" spans="1:27" ht="12.75" customHeight="1">
      <c r="A172" s="157"/>
      <c r="B172" s="157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</row>
    <row r="173" spans="1:27" ht="12.75" customHeight="1">
      <c r="A173" s="157"/>
      <c r="B173" s="157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</row>
    <row r="174" spans="1:27" ht="12.75" customHeight="1">
      <c r="A174" s="157"/>
      <c r="B174" s="157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</row>
    <row r="175" spans="1:27" ht="12.75" customHeight="1">
      <c r="A175" s="157"/>
      <c r="B175" s="157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</row>
    <row r="176" spans="1:27" ht="12.75" customHeight="1">
      <c r="A176" s="157"/>
      <c r="B176" s="157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</row>
    <row r="177" spans="1:27" ht="12.75" customHeight="1">
      <c r="A177" s="157"/>
      <c r="B177" s="157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</row>
    <row r="178" spans="1:27" ht="12.75" customHeight="1">
      <c r="A178" s="157"/>
      <c r="B178" s="157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</row>
    <row r="179" spans="1:27" ht="12.75" customHeight="1">
      <c r="A179" s="157"/>
      <c r="B179" s="157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</row>
    <row r="180" spans="1:27" ht="12.75" customHeight="1">
      <c r="A180" s="157"/>
      <c r="B180" s="157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</row>
    <row r="181" spans="1:27" ht="12.75" customHeight="1">
      <c r="A181" s="157"/>
      <c r="B181" s="157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</row>
    <row r="182" spans="1:27" ht="12.75" customHeight="1">
      <c r="A182" s="157"/>
      <c r="B182" s="157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</row>
    <row r="183" spans="1:27" ht="12.75" customHeight="1">
      <c r="A183" s="157"/>
      <c r="B183" s="157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</row>
    <row r="184" spans="1:27" ht="12.75" customHeight="1">
      <c r="A184" s="157"/>
      <c r="B184" s="157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</row>
    <row r="185" spans="1:27" ht="12.75" customHeight="1">
      <c r="A185" s="157"/>
      <c r="B185" s="157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</row>
    <row r="186" spans="1:27" ht="12.75" customHeight="1">
      <c r="A186" s="157"/>
      <c r="B186" s="157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</row>
    <row r="187" spans="1:27" ht="12.75" customHeight="1">
      <c r="A187" s="157"/>
      <c r="B187" s="157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</row>
    <row r="188" spans="1:27" ht="12.75" customHeight="1">
      <c r="A188" s="157"/>
      <c r="B188" s="157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</row>
    <row r="189" spans="1:27" ht="12.75" customHeight="1">
      <c r="A189" s="157"/>
      <c r="B189" s="157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</row>
    <row r="190" spans="1:27" ht="12.75" customHeight="1">
      <c r="A190" s="157"/>
      <c r="B190" s="157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</row>
    <row r="191" spans="1:27" ht="12.75" customHeight="1">
      <c r="A191" s="157"/>
      <c r="B191" s="157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</row>
    <row r="192" spans="1:27" ht="12.75" customHeight="1">
      <c r="A192" s="157"/>
      <c r="B192" s="157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</row>
    <row r="193" spans="1:27" ht="12.75" customHeight="1">
      <c r="A193" s="157"/>
      <c r="B193" s="157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</row>
    <row r="194" spans="1:27" ht="12.75" customHeight="1">
      <c r="A194" s="157"/>
      <c r="B194" s="157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</row>
    <row r="195" spans="1:27" ht="12.75" customHeight="1">
      <c r="A195" s="157"/>
      <c r="B195" s="157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</row>
    <row r="196" spans="1:27" ht="12.75" customHeight="1">
      <c r="A196" s="157"/>
      <c r="B196" s="157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</row>
    <row r="197" spans="1:27" ht="12.75" customHeight="1">
      <c r="A197" s="157"/>
      <c r="B197" s="157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</row>
    <row r="198" spans="1:27" ht="12.75" customHeight="1">
      <c r="A198" s="157"/>
      <c r="B198" s="157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</row>
    <row r="199" spans="1:27" ht="12.75" customHeight="1">
      <c r="A199" s="157"/>
      <c r="B199" s="157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</row>
    <row r="200" spans="1:27" ht="12.75" customHeight="1">
      <c r="A200" s="157"/>
      <c r="B200" s="157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</row>
    <row r="201" spans="1:27" ht="12.75" customHeight="1">
      <c r="A201" s="157"/>
      <c r="B201" s="157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</row>
    <row r="202" spans="1:27" ht="12.75" customHeight="1">
      <c r="A202" s="157"/>
      <c r="B202" s="157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</row>
    <row r="203" spans="1:27" ht="12.75" customHeight="1">
      <c r="A203" s="157"/>
      <c r="B203" s="157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</row>
    <row r="204" spans="1:27" ht="12.75" customHeight="1">
      <c r="A204" s="157"/>
      <c r="B204" s="157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</row>
    <row r="205" spans="1:27" ht="12.75" customHeight="1">
      <c r="A205" s="157"/>
      <c r="B205" s="157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</row>
    <row r="206" spans="1:27" ht="12.75" customHeight="1">
      <c r="A206" s="157"/>
      <c r="B206" s="157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</row>
    <row r="207" spans="1:27" ht="12.75" customHeight="1">
      <c r="A207" s="157"/>
      <c r="B207" s="157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</row>
    <row r="208" spans="1:27" ht="12.75" customHeight="1">
      <c r="A208" s="157"/>
      <c r="B208" s="157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</row>
    <row r="209" spans="1:27" ht="12.75" customHeight="1">
      <c r="A209" s="157"/>
      <c r="B209" s="157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</row>
    <row r="210" spans="1:27" ht="12.75" customHeight="1">
      <c r="A210" s="157"/>
      <c r="B210" s="157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</row>
    <row r="211" spans="1:27" ht="12.75" customHeight="1">
      <c r="A211" s="157"/>
      <c r="B211" s="157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</row>
    <row r="212" spans="1:27" ht="12.75" customHeight="1">
      <c r="A212" s="157"/>
      <c r="B212" s="157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</row>
    <row r="213" spans="1:27" ht="12.75" customHeight="1">
      <c r="A213" s="157"/>
      <c r="B213" s="157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</row>
    <row r="214" spans="1:27" ht="12.75" customHeight="1">
      <c r="A214" s="157"/>
      <c r="B214" s="157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</row>
    <row r="215" spans="1:27" ht="12.75" customHeight="1">
      <c r="A215" s="157"/>
      <c r="B215" s="157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</row>
    <row r="216" spans="1:27" ht="12.75" customHeight="1">
      <c r="A216" s="157"/>
      <c r="B216" s="157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</row>
    <row r="217" spans="1:27" ht="12.75" customHeight="1">
      <c r="A217" s="157"/>
      <c r="B217" s="157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</row>
    <row r="218" spans="1:27" ht="12.75" customHeight="1">
      <c r="A218" s="157"/>
      <c r="B218" s="157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</row>
    <row r="219" spans="1:27" ht="12.75" customHeight="1">
      <c r="A219" s="157"/>
      <c r="B219" s="157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</row>
    <row r="220" spans="1:27" ht="12.75" customHeight="1">
      <c r="A220" s="157"/>
      <c r="B220" s="157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</row>
    <row r="221" spans="1:27" ht="12.75" customHeight="1">
      <c r="A221" s="157"/>
      <c r="B221" s="157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</row>
    <row r="222" spans="1:27" ht="12.75" customHeight="1">
      <c r="A222" s="157"/>
      <c r="B222" s="157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</row>
    <row r="223" spans="1:27" ht="12.75" customHeight="1">
      <c r="A223" s="157"/>
      <c r="B223" s="157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</row>
    <row r="224" spans="1:27" ht="12.75" customHeight="1">
      <c r="A224" s="157"/>
      <c r="B224" s="157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</row>
    <row r="225" spans="1:27" ht="12.75" customHeight="1">
      <c r="A225" s="157"/>
      <c r="B225" s="157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</row>
    <row r="226" spans="1:27" ht="12.75" customHeight="1">
      <c r="A226" s="157"/>
      <c r="B226" s="157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</row>
    <row r="227" spans="1:27" ht="12.75" customHeight="1">
      <c r="A227" s="157"/>
      <c r="B227" s="157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</row>
    <row r="228" spans="1:27" ht="12.75" customHeight="1">
      <c r="A228" s="157"/>
      <c r="B228" s="157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</row>
    <row r="229" spans="1:27" ht="12.75" customHeight="1">
      <c r="A229" s="157"/>
      <c r="B229" s="157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</row>
    <row r="230" spans="1:27" ht="12.75" customHeight="1">
      <c r="A230" s="157"/>
      <c r="B230" s="157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</row>
    <row r="231" spans="1:27" ht="12.75" customHeight="1">
      <c r="A231" s="157"/>
      <c r="B231" s="157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</row>
    <row r="232" spans="1:27" ht="12.75" customHeight="1">
      <c r="A232" s="157"/>
      <c r="B232" s="157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</row>
    <row r="233" spans="1:27" ht="12.75" customHeight="1">
      <c r="A233" s="157"/>
      <c r="B233" s="157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</row>
    <row r="234" spans="1:27" ht="12.75" customHeight="1">
      <c r="A234" s="157"/>
      <c r="B234" s="157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</row>
    <row r="235" spans="1:27" ht="12.75" customHeight="1">
      <c r="A235" s="157"/>
      <c r="B235" s="157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</row>
    <row r="236" spans="1:27" ht="12.75" customHeight="1">
      <c r="A236" s="157"/>
      <c r="B236" s="157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</row>
    <row r="237" spans="1:27" ht="12.75" customHeight="1">
      <c r="A237" s="157"/>
      <c r="B237" s="157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</row>
    <row r="238" spans="1:27" ht="12.75" customHeight="1">
      <c r="A238" s="157"/>
      <c r="B238" s="157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</row>
    <row r="239" spans="1:27" ht="12.75" customHeight="1">
      <c r="A239" s="157"/>
      <c r="B239" s="157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</row>
    <row r="240" spans="1:27" ht="12.75" customHeight="1">
      <c r="A240" s="157"/>
      <c r="B240" s="157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</row>
    <row r="241" spans="1:27" ht="12.75" customHeight="1">
      <c r="A241" s="157"/>
      <c r="B241" s="157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</row>
    <row r="242" spans="1:27" ht="12.75" customHeight="1">
      <c r="A242" s="157"/>
      <c r="B242" s="157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</row>
    <row r="243" spans="1:27" ht="12.75" customHeight="1">
      <c r="A243" s="157"/>
      <c r="B243" s="157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</row>
    <row r="244" spans="1:27" ht="12.75" customHeight="1">
      <c r="A244" s="157"/>
      <c r="B244" s="157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</row>
    <row r="245" spans="1:27" ht="12.75" customHeight="1">
      <c r="A245" s="157"/>
      <c r="B245" s="157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</row>
    <row r="246" spans="1:27" ht="12.75" customHeight="1">
      <c r="A246" s="157"/>
      <c r="B246" s="157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</row>
    <row r="247" spans="1:27" ht="12.75" customHeight="1">
      <c r="A247" s="157"/>
      <c r="B247" s="157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</row>
    <row r="248" spans="1:27" ht="12.75" customHeight="1">
      <c r="A248" s="157"/>
      <c r="B248" s="157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</row>
    <row r="249" spans="1:27" ht="12.75" customHeight="1">
      <c r="A249" s="157"/>
      <c r="B249" s="157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</row>
    <row r="250" spans="1:27" ht="12.75" customHeight="1">
      <c r="A250" s="157"/>
      <c r="B250" s="157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</row>
    <row r="251" spans="1:27" ht="12.75" customHeight="1">
      <c r="A251" s="157"/>
      <c r="B251" s="157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</row>
    <row r="252" spans="1:27" ht="12.75" customHeight="1">
      <c r="A252" s="157"/>
      <c r="B252" s="157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</row>
    <row r="253" spans="1:27" ht="12.75" customHeight="1">
      <c r="A253" s="157"/>
      <c r="B253" s="157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</row>
    <row r="254" spans="1:27" ht="12.75" customHeight="1">
      <c r="A254" s="157"/>
      <c r="B254" s="157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</row>
    <row r="255" spans="1:27" ht="12.75" customHeight="1">
      <c r="A255" s="157"/>
      <c r="B255" s="157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</row>
    <row r="256" spans="1:27" ht="12.75" customHeight="1">
      <c r="A256" s="157"/>
      <c r="B256" s="157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</row>
    <row r="257" spans="1:27" ht="12.75" customHeight="1">
      <c r="A257" s="157"/>
      <c r="B257" s="157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</row>
    <row r="258" spans="1:27" ht="12.75" customHeight="1">
      <c r="A258" s="157"/>
      <c r="B258" s="157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</row>
    <row r="259" spans="1:27" ht="12.75" customHeight="1">
      <c r="A259" s="157"/>
      <c r="B259" s="157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</row>
    <row r="260" spans="1:27" ht="12.75" customHeight="1">
      <c r="A260" s="157"/>
      <c r="B260" s="157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</row>
    <row r="261" spans="1:27" ht="12.75" customHeight="1">
      <c r="A261" s="157"/>
      <c r="B261" s="157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</row>
    <row r="262" spans="1:27" ht="12.75" customHeight="1">
      <c r="A262" s="157"/>
      <c r="B262" s="157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</row>
    <row r="263" spans="1:27" ht="12.75" customHeight="1">
      <c r="A263" s="157"/>
      <c r="B263" s="157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</row>
    <row r="264" spans="1:27" ht="12.75" customHeight="1">
      <c r="A264" s="157"/>
      <c r="B264" s="157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</row>
    <row r="265" spans="1:27" ht="12.75" customHeight="1">
      <c r="A265" s="157"/>
      <c r="B265" s="157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</row>
    <row r="266" spans="1:27" ht="12.75" customHeight="1">
      <c r="A266" s="157"/>
      <c r="B266" s="157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</row>
    <row r="267" spans="1:27" ht="12.75" customHeight="1">
      <c r="A267" s="157"/>
      <c r="B267" s="157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</row>
    <row r="268" spans="1:27" ht="12.75" customHeight="1">
      <c r="A268" s="157"/>
      <c r="B268" s="157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</row>
    <row r="269" spans="1:27" ht="12.75" customHeight="1">
      <c r="A269" s="157"/>
      <c r="B269" s="157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</row>
    <row r="270" spans="1:27" ht="12.75" customHeight="1">
      <c r="A270" s="157"/>
      <c r="B270" s="157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</row>
    <row r="271" spans="1:27" ht="12.75" customHeight="1">
      <c r="A271" s="157"/>
      <c r="B271" s="157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</row>
    <row r="272" spans="1:27" ht="12.75" customHeight="1">
      <c r="A272" s="157"/>
      <c r="B272" s="157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</row>
    <row r="273" spans="1:27" ht="12.75" customHeight="1">
      <c r="A273" s="157"/>
      <c r="B273" s="157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</row>
    <row r="274" spans="1:27" ht="12.75" customHeight="1">
      <c r="A274" s="157"/>
      <c r="B274" s="157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</row>
    <row r="275" spans="1:27" ht="12.75" customHeight="1">
      <c r="A275" s="157"/>
      <c r="B275" s="157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</row>
    <row r="276" spans="1:27" ht="12.75" customHeight="1">
      <c r="A276" s="157"/>
      <c r="B276" s="157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</row>
    <row r="277" spans="1:27" ht="12.75" customHeight="1">
      <c r="A277" s="157"/>
      <c r="B277" s="157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</row>
    <row r="278" spans="1:27" ht="12.75" customHeight="1">
      <c r="A278" s="157"/>
      <c r="B278" s="157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</row>
    <row r="279" spans="1:27" ht="12.75" customHeight="1">
      <c r="A279" s="157"/>
      <c r="B279" s="157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</row>
    <row r="280" spans="1:27" ht="12.75" customHeight="1">
      <c r="A280" s="157"/>
      <c r="B280" s="157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</row>
    <row r="281" spans="1:27" ht="12.75" customHeight="1">
      <c r="A281" s="157"/>
      <c r="B281" s="157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</row>
    <row r="282" spans="1:27" ht="12.75" customHeight="1">
      <c r="A282" s="157"/>
      <c r="B282" s="157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</row>
    <row r="283" spans="1:27" ht="12.75" customHeight="1">
      <c r="A283" s="157"/>
      <c r="B283" s="157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</row>
    <row r="284" spans="1:27" ht="12.75" customHeight="1">
      <c r="A284" s="157"/>
      <c r="B284" s="157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</row>
    <row r="285" spans="1:27" ht="12.75" customHeight="1">
      <c r="A285" s="157"/>
      <c r="B285" s="157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</row>
    <row r="286" spans="1:27" ht="12.75" customHeight="1">
      <c r="A286" s="157"/>
      <c r="B286" s="157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</row>
    <row r="287" spans="1:27" ht="12.75" customHeight="1">
      <c r="A287" s="157"/>
      <c r="B287" s="157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</row>
    <row r="288" spans="1:27" ht="12.75" customHeight="1">
      <c r="A288" s="157"/>
      <c r="B288" s="157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</row>
    <row r="289" spans="1:27" ht="12.75" customHeight="1">
      <c r="A289" s="157"/>
      <c r="B289" s="157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</row>
    <row r="290" spans="1:27" ht="12.75" customHeight="1">
      <c r="A290" s="157"/>
      <c r="B290" s="157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</row>
    <row r="291" spans="1:27" ht="12.75" customHeight="1">
      <c r="A291" s="157"/>
      <c r="B291" s="157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</row>
    <row r="292" spans="1:27" ht="12.75" customHeight="1">
      <c r="A292" s="157"/>
      <c r="B292" s="157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</row>
    <row r="293" spans="1:27" ht="12.75" customHeight="1">
      <c r="A293" s="157"/>
      <c r="B293" s="157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</row>
    <row r="294" spans="1:27" ht="12.75" customHeight="1">
      <c r="A294" s="157"/>
      <c r="B294" s="157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</row>
    <row r="295" spans="1:27" ht="12.75" customHeight="1">
      <c r="A295" s="157"/>
      <c r="B295" s="157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</row>
    <row r="296" spans="1:27" ht="12.75" customHeight="1">
      <c r="A296" s="157"/>
      <c r="B296" s="157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</row>
    <row r="297" spans="1:27" ht="12.75" customHeight="1">
      <c r="A297" s="157"/>
      <c r="B297" s="157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</row>
    <row r="298" spans="1:27" ht="12.75" customHeight="1">
      <c r="A298" s="157"/>
      <c r="B298" s="157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</row>
    <row r="299" spans="1:27" ht="12.75" customHeight="1">
      <c r="A299" s="157"/>
      <c r="B299" s="157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</row>
    <row r="300" spans="1:27" ht="12.75" customHeight="1">
      <c r="A300" s="157"/>
      <c r="B300" s="157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</row>
    <row r="301" spans="1:27" ht="12.75" customHeight="1">
      <c r="A301" s="157"/>
      <c r="B301" s="157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</row>
    <row r="302" spans="1:27" ht="12.75" customHeight="1">
      <c r="A302" s="157"/>
      <c r="B302" s="157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</row>
    <row r="303" spans="1:27" ht="12.75" customHeight="1">
      <c r="A303" s="157"/>
      <c r="B303" s="157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</row>
    <row r="304" spans="1:27" ht="12.75" customHeight="1">
      <c r="A304" s="157"/>
      <c r="B304" s="157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</row>
    <row r="305" spans="1:27" ht="12.75" customHeight="1">
      <c r="A305" s="157"/>
      <c r="B305" s="157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</row>
    <row r="306" spans="1:27" ht="12.75" customHeight="1">
      <c r="A306" s="157"/>
      <c r="B306" s="157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</row>
    <row r="307" spans="1:27" ht="12.75" customHeight="1">
      <c r="A307" s="157"/>
      <c r="B307" s="157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</row>
    <row r="308" spans="1:27" ht="12.75" customHeight="1">
      <c r="A308" s="157"/>
      <c r="B308" s="157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</row>
    <row r="309" spans="1:27" ht="12.75" customHeight="1">
      <c r="A309" s="157"/>
      <c r="B309" s="157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</row>
    <row r="310" spans="1:27" ht="12.75" customHeight="1">
      <c r="A310" s="157"/>
      <c r="B310" s="157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</row>
    <row r="311" spans="1:27" ht="12.75" customHeight="1">
      <c r="A311" s="157"/>
      <c r="B311" s="157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</row>
    <row r="312" spans="1:27" ht="12.75" customHeight="1">
      <c r="A312" s="157"/>
      <c r="B312" s="157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</row>
    <row r="313" spans="1:27" ht="12.75" customHeight="1">
      <c r="A313" s="157"/>
      <c r="B313" s="157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</row>
    <row r="314" spans="1:27" ht="12.75" customHeight="1">
      <c r="A314" s="157"/>
      <c r="B314" s="157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</row>
    <row r="315" spans="1:27" ht="12.75" customHeight="1">
      <c r="A315" s="157"/>
      <c r="B315" s="157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</row>
    <row r="316" spans="1:27" ht="12.75" customHeight="1">
      <c r="A316" s="157"/>
      <c r="B316" s="157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</row>
    <row r="317" spans="1:27" ht="12.75" customHeight="1">
      <c r="A317" s="157"/>
      <c r="B317" s="157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</row>
    <row r="318" spans="1:27" ht="12.75" customHeight="1">
      <c r="A318" s="157"/>
      <c r="B318" s="157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</row>
    <row r="319" spans="1:27" ht="12.75" customHeight="1">
      <c r="A319" s="157"/>
      <c r="B319" s="157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</row>
    <row r="320" spans="1:27" ht="12.75" customHeight="1">
      <c r="A320" s="157"/>
      <c r="B320" s="157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</row>
    <row r="321" spans="1:27" ht="12.75" customHeight="1">
      <c r="A321" s="157"/>
      <c r="B321" s="157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</row>
    <row r="322" spans="1:27" ht="12.75" customHeight="1">
      <c r="A322" s="157"/>
      <c r="B322" s="157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</row>
    <row r="323" spans="1:27" ht="12.75" customHeight="1">
      <c r="A323" s="157"/>
      <c r="B323" s="157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</row>
    <row r="324" spans="1:27" ht="12.75" customHeight="1">
      <c r="A324" s="157"/>
      <c r="B324" s="157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</row>
    <row r="325" spans="1:27" ht="12.75" customHeight="1">
      <c r="A325" s="157"/>
      <c r="B325" s="157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</row>
    <row r="326" spans="1:27" ht="12.75" customHeight="1">
      <c r="A326" s="157"/>
      <c r="B326" s="157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</row>
    <row r="327" spans="1:27" ht="12.75" customHeight="1">
      <c r="A327" s="157"/>
      <c r="B327" s="157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</row>
    <row r="328" spans="1:27" ht="12.75" customHeight="1">
      <c r="A328" s="157"/>
      <c r="B328" s="157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</row>
    <row r="329" spans="1:27" ht="12.75" customHeight="1">
      <c r="A329" s="157"/>
      <c r="B329" s="157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</row>
    <row r="330" spans="1:27" ht="12.75" customHeight="1">
      <c r="A330" s="157"/>
      <c r="B330" s="157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</row>
    <row r="331" spans="1:27" ht="12.75" customHeight="1">
      <c r="A331" s="157"/>
      <c r="B331" s="157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</row>
    <row r="332" spans="1:27" ht="12.75" customHeight="1">
      <c r="A332" s="157"/>
      <c r="B332" s="157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</row>
    <row r="333" spans="1:27" ht="12.75" customHeight="1">
      <c r="A333" s="157"/>
      <c r="B333" s="157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</row>
    <row r="334" spans="1:27" ht="12.75" customHeight="1">
      <c r="A334" s="157"/>
      <c r="B334" s="157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</row>
    <row r="335" spans="1:27" ht="12.75" customHeight="1">
      <c r="A335" s="157"/>
      <c r="B335" s="157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</row>
    <row r="336" spans="1:27" ht="12.75" customHeight="1">
      <c r="A336" s="157"/>
      <c r="B336" s="157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</row>
    <row r="337" spans="1:27" ht="12.75" customHeight="1">
      <c r="A337" s="157"/>
      <c r="B337" s="157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</row>
    <row r="338" spans="1:27" ht="12.75" customHeight="1">
      <c r="A338" s="157"/>
      <c r="B338" s="157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</row>
    <row r="339" spans="1:27" ht="12.75" customHeight="1">
      <c r="A339" s="157"/>
      <c r="B339" s="157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</row>
    <row r="340" spans="1:27" ht="12.75" customHeight="1">
      <c r="A340" s="157"/>
      <c r="B340" s="157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</row>
    <row r="341" spans="1:27" ht="12.75" customHeight="1">
      <c r="A341" s="157"/>
      <c r="B341" s="157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</row>
    <row r="342" spans="1:27" ht="12.75" customHeight="1">
      <c r="A342" s="157"/>
      <c r="B342" s="157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</row>
    <row r="343" spans="1:27" ht="12.75" customHeight="1">
      <c r="A343" s="157"/>
      <c r="B343" s="157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</row>
    <row r="344" spans="1:27" ht="12.75" customHeight="1">
      <c r="A344" s="157"/>
      <c r="B344" s="157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</row>
    <row r="345" spans="1:27" ht="12.75" customHeight="1">
      <c r="A345" s="157"/>
      <c r="B345" s="157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</row>
    <row r="346" spans="1:27" ht="12.75" customHeight="1">
      <c r="A346" s="157"/>
      <c r="B346" s="157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</row>
    <row r="347" spans="1:27" ht="12.75" customHeight="1">
      <c r="A347" s="157"/>
      <c r="B347" s="157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</row>
    <row r="348" spans="1:27" ht="12.75" customHeight="1">
      <c r="A348" s="157"/>
      <c r="B348" s="157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</row>
    <row r="349" spans="1:27" ht="12.75" customHeight="1">
      <c r="A349" s="157"/>
      <c r="B349" s="157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</row>
    <row r="350" spans="1:27" ht="12.75" customHeight="1">
      <c r="A350" s="157"/>
      <c r="B350" s="157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</row>
    <row r="351" spans="1:27" ht="12.75" customHeight="1">
      <c r="A351" s="157"/>
      <c r="B351" s="157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</row>
    <row r="352" spans="1:27" ht="12.75" customHeight="1">
      <c r="A352" s="157"/>
      <c r="B352" s="157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</row>
    <row r="353" spans="1:27" ht="12.75" customHeight="1">
      <c r="A353" s="157"/>
      <c r="B353" s="157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</row>
    <row r="354" spans="1:27" ht="12.75" customHeight="1">
      <c r="A354" s="157"/>
      <c r="B354" s="157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</row>
    <row r="355" spans="1:27" ht="12.75" customHeight="1">
      <c r="A355" s="157"/>
      <c r="B355" s="157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</row>
    <row r="356" spans="1:27" ht="12.75" customHeight="1">
      <c r="A356" s="157"/>
      <c r="B356" s="157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</row>
    <row r="357" spans="1:27" ht="12.75" customHeight="1">
      <c r="A357" s="157"/>
      <c r="B357" s="157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</row>
    <row r="358" spans="1:27" ht="12.75" customHeight="1">
      <c r="A358" s="157"/>
      <c r="B358" s="157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</row>
    <row r="359" spans="1:27" ht="12.75" customHeight="1">
      <c r="A359" s="157"/>
      <c r="B359" s="157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</row>
    <row r="360" spans="1:27" ht="12.75" customHeight="1">
      <c r="A360" s="157"/>
      <c r="B360" s="157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</row>
    <row r="361" spans="1:27" ht="12.75" customHeight="1">
      <c r="A361" s="157"/>
      <c r="B361" s="157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</row>
    <row r="362" spans="1:27" ht="12.75" customHeight="1">
      <c r="A362" s="157"/>
      <c r="B362" s="157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</row>
    <row r="363" spans="1:27" ht="12.75" customHeight="1">
      <c r="A363" s="157"/>
      <c r="B363" s="157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</row>
    <row r="364" spans="1:27" ht="12.75" customHeight="1">
      <c r="A364" s="157"/>
      <c r="B364" s="157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</row>
    <row r="365" spans="1:27" ht="12.75" customHeight="1">
      <c r="A365" s="157"/>
      <c r="B365" s="157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</row>
    <row r="366" spans="1:27" ht="12.75" customHeight="1">
      <c r="A366" s="157"/>
      <c r="B366" s="157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</row>
    <row r="367" spans="1:27" ht="12.75" customHeight="1">
      <c r="A367" s="157"/>
      <c r="B367" s="157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</row>
    <row r="368" spans="1:27" ht="12.75" customHeight="1">
      <c r="A368" s="157"/>
      <c r="B368" s="157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</row>
    <row r="369" spans="1:27" ht="12.75" customHeight="1">
      <c r="A369" s="157"/>
      <c r="B369" s="157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</row>
    <row r="370" spans="1:27" ht="12.75" customHeight="1">
      <c r="A370" s="157"/>
      <c r="B370" s="157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</row>
    <row r="371" spans="1:27" ht="12.75" customHeight="1">
      <c r="A371" s="157"/>
      <c r="B371" s="157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</row>
    <row r="372" spans="1:27" ht="12.75" customHeight="1">
      <c r="A372" s="157"/>
      <c r="B372" s="157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</row>
    <row r="373" spans="1:27" ht="12.75" customHeight="1">
      <c r="A373" s="157"/>
      <c r="B373" s="157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</row>
    <row r="374" spans="1:27" ht="12.75" customHeight="1">
      <c r="A374" s="157"/>
      <c r="B374" s="157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</row>
    <row r="375" spans="1:27" ht="12.75" customHeight="1">
      <c r="A375" s="157"/>
      <c r="B375" s="157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</row>
    <row r="376" spans="1:27" ht="12.75" customHeight="1">
      <c r="A376" s="157"/>
      <c r="B376" s="157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</row>
    <row r="377" spans="1:27" ht="12.75" customHeight="1">
      <c r="A377" s="157"/>
      <c r="B377" s="157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</row>
    <row r="378" spans="1:27" ht="12.75" customHeight="1">
      <c r="A378" s="157"/>
      <c r="B378" s="157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</row>
    <row r="379" spans="1:27" ht="12.75" customHeight="1">
      <c r="A379" s="157"/>
      <c r="B379" s="157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</row>
    <row r="380" spans="1:27" ht="12.75" customHeight="1">
      <c r="A380" s="157"/>
      <c r="B380" s="157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</row>
    <row r="381" spans="1:27" ht="12.75" customHeight="1">
      <c r="A381" s="157"/>
      <c r="B381" s="157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</row>
    <row r="382" spans="1:27" ht="12.75" customHeight="1">
      <c r="A382" s="157"/>
      <c r="B382" s="157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</row>
    <row r="383" spans="1:27" ht="12.75" customHeight="1">
      <c r="A383" s="157"/>
      <c r="B383" s="157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</row>
    <row r="384" spans="1:27" ht="12.75" customHeight="1">
      <c r="A384" s="157"/>
      <c r="B384" s="157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</row>
    <row r="385" spans="1:27" ht="12.75" customHeight="1">
      <c r="A385" s="157"/>
      <c r="B385" s="157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</row>
    <row r="386" spans="1:27" ht="12.75" customHeight="1">
      <c r="A386" s="157"/>
      <c r="B386" s="157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</row>
    <row r="387" spans="1:27" ht="12.75" customHeight="1">
      <c r="A387" s="157"/>
      <c r="B387" s="157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</row>
    <row r="388" spans="1:27" ht="12.75" customHeight="1">
      <c r="A388" s="157"/>
      <c r="B388" s="157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</row>
    <row r="389" spans="1:27" ht="12.75" customHeight="1">
      <c r="A389" s="157"/>
      <c r="B389" s="157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</row>
    <row r="390" spans="1:27" ht="12.75" customHeight="1">
      <c r="A390" s="157"/>
      <c r="B390" s="157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</row>
    <row r="391" spans="1:27" ht="12.75" customHeight="1">
      <c r="A391" s="157"/>
      <c r="B391" s="157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</row>
    <row r="392" spans="1:27" ht="12.75" customHeight="1">
      <c r="A392" s="157"/>
      <c r="B392" s="157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</row>
    <row r="393" spans="1:27" ht="12.75" customHeight="1">
      <c r="A393" s="157"/>
      <c r="B393" s="157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</row>
    <row r="394" spans="1:27" ht="12.75" customHeight="1">
      <c r="A394" s="157"/>
      <c r="B394" s="157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</row>
    <row r="395" spans="1:27" ht="12.75" customHeight="1">
      <c r="A395" s="157"/>
      <c r="B395" s="157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</row>
    <row r="396" spans="1:27" ht="12.75" customHeight="1">
      <c r="A396" s="157"/>
      <c r="B396" s="157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</row>
    <row r="397" spans="1:27" ht="12.75" customHeight="1">
      <c r="A397" s="157"/>
      <c r="B397" s="157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</row>
    <row r="398" spans="1:27" ht="12.75" customHeight="1">
      <c r="A398" s="157"/>
      <c r="B398" s="157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</row>
    <row r="399" spans="1:27" ht="12.75" customHeight="1">
      <c r="A399" s="157"/>
      <c r="B399" s="157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</row>
    <row r="400" spans="1:27" ht="12.75" customHeight="1">
      <c r="A400" s="157"/>
      <c r="B400" s="157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</row>
    <row r="401" spans="1:27" ht="12.75" customHeight="1">
      <c r="A401" s="157"/>
      <c r="B401" s="157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</row>
    <row r="402" spans="1:27" ht="12.75" customHeight="1">
      <c r="A402" s="157"/>
      <c r="B402" s="157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</row>
    <row r="403" spans="1:27" ht="12.75" customHeight="1">
      <c r="A403" s="157"/>
      <c r="B403" s="157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</row>
    <row r="404" spans="1:27" ht="12.75" customHeight="1">
      <c r="A404" s="157"/>
      <c r="B404" s="157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</row>
    <row r="405" spans="1:27" ht="12.75" customHeight="1">
      <c r="A405" s="157"/>
      <c r="B405" s="157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</row>
    <row r="406" spans="1:27" ht="12.75" customHeight="1">
      <c r="A406" s="157"/>
      <c r="B406" s="157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</row>
    <row r="407" spans="1:27" ht="12.75" customHeight="1">
      <c r="A407" s="157"/>
      <c r="B407" s="157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</row>
    <row r="408" spans="1:27" ht="12.75" customHeight="1">
      <c r="A408" s="157"/>
      <c r="B408" s="157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</row>
    <row r="409" spans="1:27" ht="12.75" customHeight="1">
      <c r="A409" s="157"/>
      <c r="B409" s="157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</row>
    <row r="410" spans="1:27" ht="12.75" customHeight="1">
      <c r="A410" s="157"/>
      <c r="B410" s="157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</row>
    <row r="411" spans="1:27" ht="12.75" customHeight="1">
      <c r="A411" s="157"/>
      <c r="B411" s="157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</row>
    <row r="412" spans="1:27" ht="12.75" customHeight="1">
      <c r="A412" s="157"/>
      <c r="B412" s="157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</row>
    <row r="413" spans="1:27" ht="12.75" customHeight="1">
      <c r="A413" s="157"/>
      <c r="B413" s="157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</row>
    <row r="414" spans="1:27" ht="12.75" customHeight="1">
      <c r="A414" s="157"/>
      <c r="B414" s="157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</row>
    <row r="415" spans="1:27" ht="12.75" customHeight="1">
      <c r="A415" s="157"/>
      <c r="B415" s="157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</row>
    <row r="416" spans="1:27" ht="12.75" customHeight="1">
      <c r="A416" s="157"/>
      <c r="B416" s="157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</row>
    <row r="417" spans="1:27" ht="12.75" customHeight="1">
      <c r="A417" s="157"/>
      <c r="B417" s="157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</row>
    <row r="418" spans="1:27" ht="12.75" customHeight="1">
      <c r="A418" s="157"/>
      <c r="B418" s="157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</row>
    <row r="419" spans="1:27" ht="12.75" customHeight="1">
      <c r="A419" s="157"/>
      <c r="B419" s="157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</row>
    <row r="420" spans="1:27" ht="12.75" customHeight="1">
      <c r="A420" s="157"/>
      <c r="B420" s="157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</row>
    <row r="421" spans="1:27" ht="12.75" customHeight="1">
      <c r="A421" s="157"/>
      <c r="B421" s="157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</row>
    <row r="422" spans="1:27" ht="12.75" customHeight="1">
      <c r="A422" s="157"/>
      <c r="B422" s="157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</row>
    <row r="423" spans="1:27" ht="12.75" customHeight="1">
      <c r="A423" s="157"/>
      <c r="B423" s="157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</row>
    <row r="424" spans="1:27" ht="12.75" customHeight="1">
      <c r="A424" s="157"/>
      <c r="B424" s="157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</row>
    <row r="425" spans="1:27" ht="12.75" customHeight="1">
      <c r="A425" s="157"/>
      <c r="B425" s="157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</row>
    <row r="426" spans="1:27" ht="12.75" customHeight="1">
      <c r="A426" s="157"/>
      <c r="B426" s="157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</row>
    <row r="427" spans="1:27" ht="12.75" customHeight="1">
      <c r="A427" s="157"/>
      <c r="B427" s="157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</row>
    <row r="428" spans="1:27" ht="12.75" customHeight="1">
      <c r="A428" s="157"/>
      <c r="B428" s="157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</row>
    <row r="429" spans="1:27" ht="12.75" customHeight="1">
      <c r="A429" s="157"/>
      <c r="B429" s="157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</row>
    <row r="430" spans="1:27" ht="12.75" customHeight="1">
      <c r="A430" s="157"/>
      <c r="B430" s="157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</row>
    <row r="431" spans="1:27" ht="12.75" customHeight="1">
      <c r="A431" s="157"/>
      <c r="B431" s="157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</row>
    <row r="432" spans="1:27" ht="12.75" customHeight="1">
      <c r="A432" s="157"/>
      <c r="B432" s="157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</row>
    <row r="433" spans="1:27" ht="12.75" customHeight="1">
      <c r="A433" s="157"/>
      <c r="B433" s="157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</row>
    <row r="434" spans="1:27" ht="12.75" customHeight="1">
      <c r="A434" s="157"/>
      <c r="B434" s="157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</row>
    <row r="435" spans="1:27" ht="12.75" customHeight="1">
      <c r="A435" s="157"/>
      <c r="B435" s="157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</row>
    <row r="436" spans="1:27" ht="12.75" customHeight="1">
      <c r="A436" s="157"/>
      <c r="B436" s="157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</row>
    <row r="437" spans="1:27" ht="12.75" customHeight="1">
      <c r="A437" s="157"/>
      <c r="B437" s="157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</row>
    <row r="438" spans="1:27" ht="12.75" customHeight="1">
      <c r="A438" s="157"/>
      <c r="B438" s="157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</row>
    <row r="439" spans="1:27" ht="12.75" customHeight="1">
      <c r="A439" s="157"/>
      <c r="B439" s="157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</row>
    <row r="440" spans="1:27" ht="12.75" customHeight="1">
      <c r="A440" s="157"/>
      <c r="B440" s="157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</row>
    <row r="441" spans="1:27" ht="12.75" customHeight="1">
      <c r="A441" s="157"/>
      <c r="B441" s="157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</row>
    <row r="442" spans="1:27" ht="12.75" customHeight="1">
      <c r="A442" s="157"/>
      <c r="B442" s="157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</row>
    <row r="443" spans="1:27" ht="12.75" customHeight="1">
      <c r="A443" s="157"/>
      <c r="B443" s="157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</row>
    <row r="444" spans="1:27" ht="12.75" customHeight="1">
      <c r="A444" s="157"/>
      <c r="B444" s="157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</row>
    <row r="445" spans="1:27" ht="12.75" customHeight="1">
      <c r="A445" s="157"/>
      <c r="B445" s="157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</row>
    <row r="446" spans="1:27" ht="12.75" customHeight="1">
      <c r="A446" s="157"/>
      <c r="B446" s="157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</row>
    <row r="447" spans="1:27" ht="12.75" customHeight="1">
      <c r="A447" s="157"/>
      <c r="B447" s="157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</row>
    <row r="448" spans="1:27" ht="12.75" customHeight="1">
      <c r="A448" s="157"/>
      <c r="B448" s="157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</row>
    <row r="449" spans="1:27" ht="12.75" customHeight="1">
      <c r="A449" s="157"/>
      <c r="B449" s="157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</row>
    <row r="450" spans="1:27" ht="12.75" customHeight="1">
      <c r="A450" s="157"/>
      <c r="B450" s="157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</row>
    <row r="451" spans="1:27" ht="12.75" customHeight="1">
      <c r="A451" s="157"/>
      <c r="B451" s="157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</row>
    <row r="452" spans="1:27" ht="12.75" customHeight="1">
      <c r="A452" s="157"/>
      <c r="B452" s="157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</row>
    <row r="453" spans="1:27" ht="12.75" customHeight="1">
      <c r="A453" s="157"/>
      <c r="B453" s="157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</row>
    <row r="454" spans="1:27" ht="12.75" customHeight="1">
      <c r="A454" s="157"/>
      <c r="B454" s="157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</row>
    <row r="455" spans="1:27" ht="12.75" customHeight="1">
      <c r="A455" s="157"/>
      <c r="B455" s="157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</row>
    <row r="456" spans="1:27" ht="12.75" customHeight="1">
      <c r="A456" s="157"/>
      <c r="B456" s="157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</row>
    <row r="457" spans="1:27" ht="12.75" customHeight="1">
      <c r="A457" s="157"/>
      <c r="B457" s="157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</row>
    <row r="458" spans="1:27" ht="12.75" customHeight="1">
      <c r="A458" s="157"/>
      <c r="B458" s="157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</row>
    <row r="459" spans="1:27" ht="12.75" customHeight="1">
      <c r="A459" s="157"/>
      <c r="B459" s="157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</row>
    <row r="460" spans="1:27" ht="12.75" customHeight="1">
      <c r="A460" s="157"/>
      <c r="B460" s="157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</row>
    <row r="461" spans="1:27" ht="12.75" customHeight="1">
      <c r="A461" s="157"/>
      <c r="B461" s="157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</row>
    <row r="462" spans="1:27" ht="12.75" customHeight="1">
      <c r="A462" s="157"/>
      <c r="B462" s="157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</row>
    <row r="463" spans="1:27" ht="12.75" customHeight="1">
      <c r="A463" s="157"/>
      <c r="B463" s="157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</row>
    <row r="464" spans="1:27" ht="12.75" customHeight="1">
      <c r="A464" s="157"/>
      <c r="B464" s="157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</row>
    <row r="465" spans="1:27" ht="12.75" customHeight="1">
      <c r="A465" s="157"/>
      <c r="B465" s="157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</row>
    <row r="466" spans="1:27" ht="12.75" customHeight="1">
      <c r="A466" s="157"/>
      <c r="B466" s="157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</row>
    <row r="467" spans="1:27" ht="12.75" customHeight="1">
      <c r="A467" s="157"/>
      <c r="B467" s="157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</row>
    <row r="468" spans="1:27" ht="12.75" customHeight="1">
      <c r="A468" s="157"/>
      <c r="B468" s="157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</row>
    <row r="469" spans="1:27" ht="12.75" customHeight="1">
      <c r="A469" s="157"/>
      <c r="B469" s="157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</row>
    <row r="470" spans="1:27" ht="12.75" customHeight="1">
      <c r="A470" s="157"/>
      <c r="B470" s="157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</row>
    <row r="471" spans="1:27" ht="12.75" customHeight="1">
      <c r="A471" s="157"/>
      <c r="B471" s="157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</row>
    <row r="472" spans="1:27" ht="12.75" customHeight="1">
      <c r="A472" s="157"/>
      <c r="B472" s="157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</row>
    <row r="473" spans="1:27" ht="12.75" customHeight="1">
      <c r="A473" s="157"/>
      <c r="B473" s="157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</row>
    <row r="474" spans="1:27" ht="12.75" customHeight="1">
      <c r="A474" s="157"/>
      <c r="B474" s="157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</row>
    <row r="475" spans="1:27" ht="12.75" customHeight="1">
      <c r="A475" s="157"/>
      <c r="B475" s="157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</row>
    <row r="476" spans="1:27" ht="12.75" customHeight="1">
      <c r="A476" s="157"/>
      <c r="B476" s="157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</row>
    <row r="477" spans="1:27" ht="12.75" customHeight="1">
      <c r="A477" s="157"/>
      <c r="B477" s="157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</row>
    <row r="478" spans="1:27" ht="12.75" customHeight="1">
      <c r="A478" s="157"/>
      <c r="B478" s="157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</row>
    <row r="479" spans="1:27" ht="12.75" customHeight="1">
      <c r="A479" s="157"/>
      <c r="B479" s="157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</row>
    <row r="480" spans="1:27" ht="12.75" customHeight="1">
      <c r="A480" s="157"/>
      <c r="B480" s="157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</row>
    <row r="481" spans="1:27" ht="12.75" customHeight="1">
      <c r="A481" s="157"/>
      <c r="B481" s="157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</row>
    <row r="482" spans="1:27" ht="12.75" customHeight="1">
      <c r="A482" s="157"/>
      <c r="B482" s="157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</row>
    <row r="483" spans="1:27" ht="12.75" customHeight="1">
      <c r="A483" s="157"/>
      <c r="B483" s="157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</row>
    <row r="484" spans="1:27" ht="12.75" customHeight="1">
      <c r="A484" s="157"/>
      <c r="B484" s="157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</row>
    <row r="485" spans="1:27" ht="12.75" customHeight="1">
      <c r="A485" s="157"/>
      <c r="B485" s="157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</row>
    <row r="486" spans="1:27" ht="12.75" customHeight="1">
      <c r="A486" s="157"/>
      <c r="B486" s="157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</row>
    <row r="487" spans="1:27" ht="12.75" customHeight="1">
      <c r="A487" s="157"/>
      <c r="B487" s="157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</row>
    <row r="488" spans="1:27" ht="12.75" customHeight="1">
      <c r="A488" s="157"/>
      <c r="B488" s="157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</row>
    <row r="489" spans="1:27" ht="12.75" customHeight="1">
      <c r="A489" s="157"/>
      <c r="B489" s="157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</row>
    <row r="490" spans="1:27" ht="12.75" customHeight="1">
      <c r="A490" s="157"/>
      <c r="B490" s="157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</row>
    <row r="491" spans="1:27" ht="12.75" customHeight="1">
      <c r="A491" s="157"/>
      <c r="B491" s="157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</row>
    <row r="492" spans="1:27" ht="12.75" customHeight="1">
      <c r="A492" s="157"/>
      <c r="B492" s="157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</row>
    <row r="493" spans="1:27" ht="12.75" customHeight="1">
      <c r="A493" s="157"/>
      <c r="B493" s="157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</row>
    <row r="494" spans="1:27" ht="12.75" customHeight="1">
      <c r="A494" s="157"/>
      <c r="B494" s="157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</row>
    <row r="495" spans="1:27" ht="12.75" customHeight="1">
      <c r="A495" s="157"/>
      <c r="B495" s="157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</row>
    <row r="496" spans="1:27" ht="12.75" customHeight="1">
      <c r="A496" s="157"/>
      <c r="B496" s="157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</row>
    <row r="497" spans="1:27" ht="12.75" customHeight="1">
      <c r="A497" s="157"/>
      <c r="B497" s="157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</row>
    <row r="498" spans="1:27" ht="12.75" customHeight="1">
      <c r="A498" s="157"/>
      <c r="B498" s="157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</row>
    <row r="499" spans="1:27" ht="12.75" customHeight="1">
      <c r="A499" s="157"/>
      <c r="B499" s="157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</row>
    <row r="500" spans="1:27" ht="12.75" customHeight="1">
      <c r="A500" s="157"/>
      <c r="B500" s="157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</row>
    <row r="501" spans="1:27" ht="12.75" customHeight="1">
      <c r="A501" s="157"/>
      <c r="B501" s="157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</row>
    <row r="502" spans="1:27" ht="12.75" customHeight="1">
      <c r="A502" s="157"/>
      <c r="B502" s="157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</row>
    <row r="503" spans="1:27" ht="12.75" customHeight="1">
      <c r="A503" s="157"/>
      <c r="B503" s="157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</row>
    <row r="504" spans="1:27" ht="12.75" customHeight="1">
      <c r="A504" s="157"/>
      <c r="B504" s="157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</row>
    <row r="505" spans="1:27" ht="12.75" customHeight="1">
      <c r="A505" s="157"/>
      <c r="B505" s="157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</row>
    <row r="506" spans="1:27" ht="12.75" customHeight="1">
      <c r="A506" s="157"/>
      <c r="B506" s="157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</row>
    <row r="507" spans="1:27" ht="12.75" customHeight="1">
      <c r="A507" s="157"/>
      <c r="B507" s="157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</row>
    <row r="508" spans="1:27" ht="12.75" customHeight="1">
      <c r="A508" s="157"/>
      <c r="B508" s="157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</row>
    <row r="509" spans="1:27" ht="12.75" customHeight="1">
      <c r="A509" s="157"/>
      <c r="B509" s="157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</row>
    <row r="510" spans="1:27" ht="12.75" customHeight="1">
      <c r="A510" s="157"/>
      <c r="B510" s="157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</row>
    <row r="511" spans="1:27" ht="12.75" customHeight="1">
      <c r="A511" s="157"/>
      <c r="B511" s="157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</row>
    <row r="512" spans="1:27" ht="12.75" customHeight="1">
      <c r="A512" s="157"/>
      <c r="B512" s="157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</row>
    <row r="513" spans="1:27" ht="12.75" customHeight="1">
      <c r="A513" s="157"/>
      <c r="B513" s="157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</row>
    <row r="514" spans="1:27" ht="12.75" customHeight="1">
      <c r="A514" s="157"/>
      <c r="B514" s="157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</row>
    <row r="515" spans="1:27" ht="12.75" customHeight="1">
      <c r="A515" s="157"/>
      <c r="B515" s="157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</row>
    <row r="516" spans="1:27" ht="12.75" customHeight="1">
      <c r="A516" s="157"/>
      <c r="B516" s="157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</row>
    <row r="517" spans="1:27" ht="12.75" customHeight="1">
      <c r="A517" s="157"/>
      <c r="B517" s="157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</row>
    <row r="518" spans="1:27" ht="12.75" customHeight="1">
      <c r="A518" s="157"/>
      <c r="B518" s="157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</row>
    <row r="519" spans="1:27" ht="12.75" customHeight="1">
      <c r="A519" s="157"/>
      <c r="B519" s="157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</row>
    <row r="520" spans="1:27" ht="12.75" customHeight="1">
      <c r="A520" s="157"/>
      <c r="B520" s="157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</row>
    <row r="521" spans="1:27" ht="12.75" customHeight="1">
      <c r="A521" s="157"/>
      <c r="B521" s="157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</row>
    <row r="522" spans="1:27" ht="12.75" customHeight="1">
      <c r="A522" s="157"/>
      <c r="B522" s="157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</row>
    <row r="523" spans="1:27" ht="12.75" customHeight="1">
      <c r="A523" s="157"/>
      <c r="B523" s="157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</row>
    <row r="524" spans="1:27" ht="12.75" customHeight="1">
      <c r="A524" s="157"/>
      <c r="B524" s="157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</row>
    <row r="525" spans="1:27" ht="12.75" customHeight="1">
      <c r="A525" s="157"/>
      <c r="B525" s="157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</row>
    <row r="526" spans="1:27" ht="12.75" customHeight="1">
      <c r="A526" s="157"/>
      <c r="B526" s="157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</row>
    <row r="527" spans="1:27" ht="12.75" customHeight="1">
      <c r="A527" s="157"/>
      <c r="B527" s="157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</row>
    <row r="528" spans="1:27" ht="12.75" customHeight="1">
      <c r="A528" s="157"/>
      <c r="B528" s="157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</row>
    <row r="529" spans="1:27" ht="12.75" customHeight="1">
      <c r="A529" s="157"/>
      <c r="B529" s="157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</row>
    <row r="530" spans="1:27" ht="12.75" customHeight="1">
      <c r="A530" s="157"/>
      <c r="B530" s="157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</row>
    <row r="531" spans="1:27" ht="12.75" customHeight="1">
      <c r="A531" s="157"/>
      <c r="B531" s="157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</row>
    <row r="532" spans="1:27" ht="12.75" customHeight="1">
      <c r="A532" s="157"/>
      <c r="B532" s="157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</row>
    <row r="533" spans="1:27" ht="12.75" customHeight="1">
      <c r="A533" s="157"/>
      <c r="B533" s="157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</row>
    <row r="534" spans="1:27" ht="12.75" customHeight="1">
      <c r="A534" s="157"/>
      <c r="B534" s="157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</row>
    <row r="535" spans="1:27" ht="12.75" customHeight="1">
      <c r="A535" s="157"/>
      <c r="B535" s="157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</row>
    <row r="536" spans="1:27" ht="12.75" customHeight="1">
      <c r="A536" s="157"/>
      <c r="B536" s="157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</row>
    <row r="537" spans="1:27" ht="12.75" customHeight="1">
      <c r="A537" s="157"/>
      <c r="B537" s="157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</row>
    <row r="538" spans="1:27" ht="12.75" customHeight="1">
      <c r="A538" s="157"/>
      <c r="B538" s="157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</row>
    <row r="539" spans="1:27" ht="12.75" customHeight="1">
      <c r="A539" s="157"/>
      <c r="B539" s="157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</row>
    <row r="540" spans="1:27" ht="12.75" customHeight="1">
      <c r="A540" s="157"/>
      <c r="B540" s="157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</row>
    <row r="541" spans="1:27" ht="12.75" customHeight="1">
      <c r="A541" s="157"/>
      <c r="B541" s="157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</row>
    <row r="542" spans="1:27" ht="12.75" customHeight="1">
      <c r="A542" s="157"/>
      <c r="B542" s="157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</row>
    <row r="543" spans="1:27" ht="12.75" customHeight="1">
      <c r="A543" s="157"/>
      <c r="B543" s="157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</row>
    <row r="544" spans="1:27" ht="12.75" customHeight="1">
      <c r="A544" s="157"/>
      <c r="B544" s="157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</row>
    <row r="545" spans="1:27" ht="12.75" customHeight="1">
      <c r="A545" s="157"/>
      <c r="B545" s="157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</row>
    <row r="546" spans="1:27" ht="12.75" customHeight="1">
      <c r="A546" s="157"/>
      <c r="B546" s="157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</row>
    <row r="547" spans="1:27" ht="12.75" customHeight="1">
      <c r="A547" s="157"/>
      <c r="B547" s="157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</row>
    <row r="548" spans="1:27" ht="12.75" customHeight="1">
      <c r="A548" s="157"/>
      <c r="B548" s="157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</row>
    <row r="549" spans="1:27" ht="12.75" customHeight="1">
      <c r="A549" s="157"/>
      <c r="B549" s="157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</row>
    <row r="550" spans="1:27" ht="12.75" customHeight="1">
      <c r="A550" s="157"/>
      <c r="B550" s="157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</row>
    <row r="551" spans="1:27" ht="12.75" customHeight="1">
      <c r="A551" s="157"/>
      <c r="B551" s="157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</row>
    <row r="552" spans="1:27" ht="12.75" customHeight="1">
      <c r="A552" s="157"/>
      <c r="B552" s="157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</row>
    <row r="553" spans="1:27" ht="12.75" customHeight="1">
      <c r="A553" s="157"/>
      <c r="B553" s="157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</row>
    <row r="554" spans="1:27" ht="12.75" customHeight="1">
      <c r="A554" s="157"/>
      <c r="B554" s="157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</row>
    <row r="555" spans="1:27" ht="12.75" customHeight="1">
      <c r="A555" s="157"/>
      <c r="B555" s="157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</row>
    <row r="556" spans="1:27" ht="12.75" customHeight="1">
      <c r="A556" s="157"/>
      <c r="B556" s="157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</row>
    <row r="557" spans="1:27" ht="12.75" customHeight="1">
      <c r="A557" s="157"/>
      <c r="B557" s="157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</row>
    <row r="558" spans="1:27" ht="12.75" customHeight="1">
      <c r="A558" s="157"/>
      <c r="B558" s="157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</row>
    <row r="559" spans="1:27" ht="12.75" customHeight="1">
      <c r="A559" s="157"/>
      <c r="B559" s="157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</row>
    <row r="560" spans="1:27" ht="12.75" customHeight="1">
      <c r="A560" s="157"/>
      <c r="B560" s="157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</row>
    <row r="561" spans="1:27" ht="12.75" customHeight="1">
      <c r="A561" s="157"/>
      <c r="B561" s="157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</row>
    <row r="562" spans="1:27" ht="12.75" customHeight="1">
      <c r="A562" s="157"/>
      <c r="B562" s="157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</row>
    <row r="563" spans="1:27" ht="12.75" customHeight="1">
      <c r="A563" s="157"/>
      <c r="B563" s="157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</row>
    <row r="564" spans="1:27" ht="12.75" customHeight="1">
      <c r="A564" s="157"/>
      <c r="B564" s="157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</row>
    <row r="565" spans="1:27" ht="12.75" customHeight="1">
      <c r="A565" s="157"/>
      <c r="B565" s="157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</row>
    <row r="566" spans="1:27" ht="12.75" customHeight="1">
      <c r="A566" s="157"/>
      <c r="B566" s="157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</row>
    <row r="567" spans="1:27" ht="12.75" customHeight="1">
      <c r="A567" s="157"/>
      <c r="B567" s="157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</row>
    <row r="568" spans="1:27" ht="12.75" customHeight="1">
      <c r="A568" s="157"/>
      <c r="B568" s="157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</row>
    <row r="569" spans="1:27" ht="12.75" customHeight="1">
      <c r="A569" s="157"/>
      <c r="B569" s="157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</row>
    <row r="570" spans="1:27" ht="12.75" customHeight="1">
      <c r="A570" s="157"/>
      <c r="B570" s="157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</row>
    <row r="571" spans="1:27" ht="12.75" customHeight="1">
      <c r="A571" s="157"/>
      <c r="B571" s="157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</row>
    <row r="572" spans="1:27" ht="12.75" customHeight="1">
      <c r="A572" s="157"/>
      <c r="B572" s="157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</row>
    <row r="573" spans="1:27" ht="12.75" customHeight="1">
      <c r="A573" s="157"/>
      <c r="B573" s="157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</row>
    <row r="574" spans="1:27" ht="12.75" customHeight="1">
      <c r="A574" s="157"/>
      <c r="B574" s="157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</row>
    <row r="575" spans="1:27" ht="12.75" customHeight="1">
      <c r="A575" s="157"/>
      <c r="B575" s="157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</row>
    <row r="576" spans="1:27" ht="12.75" customHeight="1">
      <c r="A576" s="157"/>
      <c r="B576" s="157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</row>
    <row r="577" spans="1:27" ht="12.75" customHeight="1">
      <c r="A577" s="157"/>
      <c r="B577" s="157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</row>
    <row r="578" spans="1:27" ht="12.75" customHeight="1">
      <c r="A578" s="157"/>
      <c r="B578" s="157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</row>
    <row r="579" spans="1:27" ht="12.75" customHeight="1">
      <c r="A579" s="157"/>
      <c r="B579" s="157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</row>
    <row r="580" spans="1:27" ht="12.75" customHeight="1">
      <c r="A580" s="157"/>
      <c r="B580" s="157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</row>
    <row r="581" spans="1:27" ht="12.75" customHeight="1">
      <c r="A581" s="157"/>
      <c r="B581" s="157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</row>
    <row r="582" spans="1:27" ht="12.75" customHeight="1">
      <c r="A582" s="157"/>
      <c r="B582" s="157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</row>
    <row r="583" spans="1:27" ht="12.75" customHeight="1">
      <c r="A583" s="157"/>
      <c r="B583" s="157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</row>
    <row r="584" spans="1:27" ht="12.75" customHeight="1">
      <c r="A584" s="157"/>
      <c r="B584" s="157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</row>
    <row r="585" spans="1:27" ht="12.75" customHeight="1">
      <c r="A585" s="157"/>
      <c r="B585" s="157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</row>
    <row r="586" spans="1:27" ht="12.75" customHeight="1">
      <c r="A586" s="157"/>
      <c r="B586" s="157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</row>
    <row r="587" spans="1:27" ht="12.75" customHeight="1">
      <c r="A587" s="157"/>
      <c r="B587" s="157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</row>
    <row r="588" spans="1:27" ht="12.75" customHeight="1">
      <c r="A588" s="157"/>
      <c r="B588" s="157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</row>
    <row r="589" spans="1:27" ht="12.75" customHeight="1">
      <c r="A589" s="157"/>
      <c r="B589" s="157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</row>
    <row r="590" spans="1:27" ht="12.75" customHeight="1">
      <c r="A590" s="157"/>
      <c r="B590" s="157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</row>
    <row r="591" spans="1:27" ht="12.75" customHeight="1">
      <c r="A591" s="157"/>
      <c r="B591" s="157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</row>
    <row r="592" spans="1:27" ht="12.75" customHeight="1">
      <c r="A592" s="157"/>
      <c r="B592" s="157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</row>
    <row r="593" spans="1:27" ht="12.75" customHeight="1">
      <c r="A593" s="157"/>
      <c r="B593" s="157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</row>
    <row r="594" spans="1:27" ht="12.75" customHeight="1">
      <c r="A594" s="157"/>
      <c r="B594" s="157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</row>
    <row r="595" spans="1:27" ht="12.75" customHeight="1">
      <c r="A595" s="157"/>
      <c r="B595" s="157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</row>
    <row r="596" spans="1:27" ht="12.75" customHeight="1">
      <c r="A596" s="157"/>
      <c r="B596" s="157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</row>
    <row r="597" spans="1:27" ht="12.75" customHeight="1">
      <c r="A597" s="157"/>
      <c r="B597" s="157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</row>
    <row r="598" spans="1:27" ht="12.75" customHeight="1">
      <c r="A598" s="157"/>
      <c r="B598" s="157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</row>
    <row r="599" spans="1:27" ht="12.75" customHeight="1">
      <c r="A599" s="157"/>
      <c r="B599" s="157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</row>
    <row r="600" spans="1:27" ht="12.75" customHeight="1">
      <c r="A600" s="157"/>
      <c r="B600" s="157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</row>
    <row r="601" spans="1:27" ht="12.75" customHeight="1">
      <c r="A601" s="157"/>
      <c r="B601" s="157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</row>
    <row r="602" spans="1:27" ht="12.75" customHeight="1">
      <c r="A602" s="157"/>
      <c r="B602" s="157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</row>
    <row r="603" spans="1:27" ht="12.75" customHeight="1">
      <c r="A603" s="157"/>
      <c r="B603" s="157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</row>
    <row r="604" spans="1:27" ht="12.75" customHeight="1">
      <c r="A604" s="157"/>
      <c r="B604" s="157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</row>
    <row r="605" spans="1:27" ht="12.75" customHeight="1">
      <c r="A605" s="157"/>
      <c r="B605" s="157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</row>
    <row r="606" spans="1:27" ht="12.75" customHeight="1">
      <c r="A606" s="157"/>
      <c r="B606" s="157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</row>
    <row r="607" spans="1:27" ht="12.75" customHeight="1">
      <c r="A607" s="157"/>
      <c r="B607" s="157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</row>
    <row r="608" spans="1:27" ht="12.75" customHeight="1">
      <c r="A608" s="157"/>
      <c r="B608" s="157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</row>
    <row r="609" spans="1:27" ht="12.75" customHeight="1">
      <c r="A609" s="157"/>
      <c r="B609" s="157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</row>
    <row r="610" spans="1:27" ht="12.75" customHeight="1">
      <c r="A610" s="157"/>
      <c r="B610" s="157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</row>
    <row r="611" spans="1:27" ht="12.75" customHeight="1">
      <c r="A611" s="157"/>
      <c r="B611" s="157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</row>
    <row r="612" spans="1:27" ht="12.75" customHeight="1">
      <c r="A612" s="157"/>
      <c r="B612" s="157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</row>
    <row r="613" spans="1:27" ht="12.75" customHeight="1">
      <c r="A613" s="157"/>
      <c r="B613" s="157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</row>
    <row r="614" spans="1:27" ht="12.75" customHeight="1">
      <c r="A614" s="157"/>
      <c r="B614" s="157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</row>
    <row r="615" spans="1:27" ht="12.75" customHeight="1">
      <c r="A615" s="157"/>
      <c r="B615" s="157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</row>
    <row r="616" spans="1:27" ht="12.75" customHeight="1">
      <c r="A616" s="157"/>
      <c r="B616" s="157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</row>
    <row r="617" spans="1:27" ht="12.75" customHeight="1">
      <c r="A617" s="157"/>
      <c r="B617" s="157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</row>
    <row r="618" spans="1:27" ht="12.75" customHeight="1">
      <c r="A618" s="157"/>
      <c r="B618" s="157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</row>
    <row r="619" spans="1:27" ht="12.75" customHeight="1">
      <c r="A619" s="157"/>
      <c r="B619" s="157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</row>
    <row r="620" spans="1:27" ht="12.75" customHeight="1">
      <c r="A620" s="157"/>
      <c r="B620" s="157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</row>
    <row r="621" spans="1:27" ht="12.75" customHeight="1">
      <c r="A621" s="157"/>
      <c r="B621" s="157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</row>
    <row r="622" spans="1:27" ht="12.75" customHeight="1">
      <c r="A622" s="157"/>
      <c r="B622" s="157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</row>
    <row r="623" spans="1:27" ht="12.75" customHeight="1">
      <c r="A623" s="157"/>
      <c r="B623" s="157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</row>
    <row r="624" spans="1:27" ht="12.75" customHeight="1">
      <c r="A624" s="157"/>
      <c r="B624" s="157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</row>
    <row r="625" spans="1:27" ht="12.75" customHeight="1">
      <c r="A625" s="157"/>
      <c r="B625" s="157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</row>
    <row r="626" spans="1:27" ht="12.75" customHeight="1">
      <c r="A626" s="157"/>
      <c r="B626" s="157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</row>
    <row r="627" spans="1:27" ht="12.75" customHeight="1">
      <c r="A627" s="157"/>
      <c r="B627" s="157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</row>
    <row r="628" spans="1:27" ht="12.75" customHeight="1">
      <c r="A628" s="157"/>
      <c r="B628" s="157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</row>
    <row r="629" spans="1:27" ht="12.75" customHeight="1">
      <c r="A629" s="157"/>
      <c r="B629" s="157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</row>
    <row r="630" spans="1:27" ht="12.75" customHeight="1">
      <c r="A630" s="157"/>
      <c r="B630" s="157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</row>
    <row r="631" spans="1:27" ht="12.75" customHeight="1">
      <c r="A631" s="157"/>
      <c r="B631" s="157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</row>
    <row r="632" spans="1:27" ht="12.75" customHeight="1">
      <c r="A632" s="157"/>
      <c r="B632" s="157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</row>
    <row r="633" spans="1:27" ht="12.75" customHeight="1">
      <c r="A633" s="157"/>
      <c r="B633" s="157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</row>
    <row r="634" spans="1:27" ht="12.75" customHeight="1">
      <c r="A634" s="157"/>
      <c r="B634" s="157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</row>
    <row r="635" spans="1:27" ht="12.75" customHeight="1">
      <c r="A635" s="157"/>
      <c r="B635" s="157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</row>
    <row r="636" spans="1:27" ht="12.75" customHeight="1">
      <c r="A636" s="157"/>
      <c r="B636" s="157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</row>
    <row r="637" spans="1:27" ht="12.75" customHeight="1">
      <c r="A637" s="157"/>
      <c r="B637" s="157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</row>
    <row r="638" spans="1:27" ht="12.75" customHeight="1">
      <c r="A638" s="157"/>
      <c r="B638" s="157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</row>
    <row r="639" spans="1:27" ht="12.75" customHeight="1">
      <c r="A639" s="157"/>
      <c r="B639" s="157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</row>
    <row r="640" spans="1:27" ht="12.75" customHeight="1">
      <c r="A640" s="157"/>
      <c r="B640" s="157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</row>
    <row r="641" spans="1:27" ht="12.75" customHeight="1">
      <c r="A641" s="157"/>
      <c r="B641" s="157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</row>
    <row r="642" spans="1:27" ht="12.75" customHeight="1">
      <c r="A642" s="157"/>
      <c r="B642" s="157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</row>
    <row r="643" spans="1:27" ht="12.75" customHeight="1">
      <c r="A643" s="157"/>
      <c r="B643" s="157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</row>
    <row r="644" spans="1:27" ht="12.75" customHeight="1">
      <c r="A644" s="157"/>
      <c r="B644" s="157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</row>
    <row r="645" spans="1:27" ht="12.75" customHeight="1">
      <c r="A645" s="157"/>
      <c r="B645" s="157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</row>
    <row r="646" spans="1:27" ht="12.75" customHeight="1">
      <c r="A646" s="157"/>
      <c r="B646" s="157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</row>
    <row r="647" spans="1:27" ht="12.75" customHeight="1">
      <c r="A647" s="157"/>
      <c r="B647" s="157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</row>
    <row r="648" spans="1:27" ht="12.75" customHeight="1">
      <c r="A648" s="157"/>
      <c r="B648" s="157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</row>
    <row r="649" spans="1:27" ht="12.75" customHeight="1">
      <c r="A649" s="157"/>
      <c r="B649" s="157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</row>
    <row r="650" spans="1:27" ht="12.75" customHeight="1">
      <c r="A650" s="157"/>
      <c r="B650" s="157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</row>
    <row r="651" spans="1:27" ht="12.75" customHeight="1">
      <c r="A651" s="157"/>
      <c r="B651" s="157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</row>
    <row r="652" spans="1:27" ht="12.75" customHeight="1">
      <c r="A652" s="157"/>
      <c r="B652" s="157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</row>
    <row r="653" spans="1:27" ht="12.75" customHeight="1">
      <c r="A653" s="157"/>
      <c r="B653" s="157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</row>
    <row r="654" spans="1:27" ht="12.75" customHeight="1">
      <c r="A654" s="157"/>
      <c r="B654" s="157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</row>
    <row r="655" spans="1:27" ht="12.75" customHeight="1">
      <c r="A655" s="157"/>
      <c r="B655" s="157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</row>
    <row r="656" spans="1:27" ht="12.75" customHeight="1">
      <c r="A656" s="157"/>
      <c r="B656" s="157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</row>
    <row r="657" spans="1:27" ht="12.75" customHeight="1">
      <c r="A657" s="157"/>
      <c r="B657" s="157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</row>
    <row r="658" spans="1:27" ht="12.75" customHeight="1">
      <c r="A658" s="157"/>
      <c r="B658" s="157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</row>
    <row r="659" spans="1:27" ht="12.75" customHeight="1">
      <c r="A659" s="157"/>
      <c r="B659" s="157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</row>
    <row r="660" spans="1:27" ht="12.75" customHeight="1">
      <c r="A660" s="157"/>
      <c r="B660" s="157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</row>
    <row r="661" spans="1:27" ht="12.75" customHeight="1">
      <c r="A661" s="157"/>
      <c r="B661" s="157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</row>
    <row r="662" spans="1:27" ht="12.75" customHeight="1">
      <c r="A662" s="157"/>
      <c r="B662" s="157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</row>
    <row r="663" spans="1:27" ht="12.75" customHeight="1">
      <c r="A663" s="157"/>
      <c r="B663" s="157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</row>
    <row r="664" spans="1:27" ht="12.75" customHeight="1">
      <c r="A664" s="157"/>
      <c r="B664" s="157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</row>
    <row r="665" spans="1:27" ht="12.75" customHeight="1">
      <c r="A665" s="157"/>
      <c r="B665" s="157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</row>
    <row r="666" spans="1:27" ht="12.75" customHeight="1">
      <c r="A666" s="157"/>
      <c r="B666" s="157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</row>
    <row r="667" spans="1:27" ht="12.75" customHeight="1">
      <c r="A667" s="157"/>
      <c r="B667" s="157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</row>
    <row r="668" spans="1:27" ht="12.75" customHeight="1">
      <c r="A668" s="157"/>
      <c r="B668" s="157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</row>
    <row r="669" spans="1:27" ht="12.75" customHeight="1">
      <c r="A669" s="157"/>
      <c r="B669" s="157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</row>
    <row r="670" spans="1:27" ht="12.75" customHeight="1">
      <c r="A670" s="157"/>
      <c r="B670" s="157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</row>
    <row r="671" spans="1:27" ht="12.75" customHeight="1">
      <c r="A671" s="157"/>
      <c r="B671" s="157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</row>
    <row r="672" spans="1:27" ht="12.75" customHeight="1">
      <c r="A672" s="157"/>
      <c r="B672" s="157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</row>
    <row r="673" spans="1:27" ht="12.75" customHeight="1">
      <c r="A673" s="157"/>
      <c r="B673" s="157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</row>
    <row r="674" spans="1:27" ht="12.75" customHeight="1">
      <c r="A674" s="157"/>
      <c r="B674" s="157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</row>
    <row r="675" spans="1:27" ht="12.75" customHeight="1">
      <c r="A675" s="157"/>
      <c r="B675" s="157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</row>
    <row r="676" spans="1:27" ht="12.75" customHeight="1">
      <c r="A676" s="157"/>
      <c r="B676" s="157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</row>
    <row r="677" spans="1:27" ht="12.75" customHeight="1">
      <c r="A677" s="157"/>
      <c r="B677" s="157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</row>
    <row r="678" spans="1:27" ht="12.75" customHeight="1">
      <c r="A678" s="157"/>
      <c r="B678" s="157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</row>
    <row r="679" spans="1:27" ht="12.75" customHeight="1">
      <c r="A679" s="157"/>
      <c r="B679" s="157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</row>
    <row r="680" spans="1:27" ht="12.75" customHeight="1">
      <c r="A680" s="157"/>
      <c r="B680" s="157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</row>
    <row r="681" spans="1:27" ht="12.75" customHeight="1">
      <c r="A681" s="157"/>
      <c r="B681" s="157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</row>
    <row r="682" spans="1:27" ht="12.75" customHeight="1">
      <c r="A682" s="157"/>
      <c r="B682" s="157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</row>
    <row r="683" spans="1:27" ht="12.75" customHeight="1">
      <c r="A683" s="157"/>
      <c r="B683" s="157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</row>
    <row r="684" spans="1:27" ht="12.75" customHeight="1">
      <c r="A684" s="157"/>
      <c r="B684" s="157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</row>
    <row r="685" spans="1:27" ht="12.75" customHeight="1">
      <c r="A685" s="157"/>
      <c r="B685" s="157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</row>
    <row r="686" spans="1:27" ht="12.75" customHeight="1">
      <c r="A686" s="157"/>
      <c r="B686" s="157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</row>
    <row r="687" spans="1:27" ht="12.75" customHeight="1">
      <c r="A687" s="157"/>
      <c r="B687" s="157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</row>
    <row r="688" spans="1:27" ht="12.75" customHeight="1">
      <c r="A688" s="157"/>
      <c r="B688" s="157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</row>
    <row r="689" spans="1:27" ht="12.75" customHeight="1">
      <c r="A689" s="157"/>
      <c r="B689" s="157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</row>
    <row r="690" spans="1:27" ht="12.75" customHeight="1">
      <c r="A690" s="157"/>
      <c r="B690" s="157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</row>
    <row r="691" spans="1:27" ht="12.75" customHeight="1">
      <c r="A691" s="157"/>
      <c r="B691" s="157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</row>
    <row r="692" spans="1:27" ht="12.75" customHeight="1">
      <c r="A692" s="157"/>
      <c r="B692" s="157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</row>
    <row r="693" spans="1:27" ht="12.75" customHeight="1">
      <c r="A693" s="157"/>
      <c r="B693" s="157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</row>
    <row r="694" spans="1:27" ht="12.75" customHeight="1">
      <c r="A694" s="157"/>
      <c r="B694" s="157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</row>
    <row r="695" spans="1:27" ht="12.75" customHeight="1">
      <c r="A695" s="157"/>
      <c r="B695" s="157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</row>
    <row r="696" spans="1:27" ht="12.75" customHeight="1">
      <c r="A696" s="157"/>
      <c r="B696" s="157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</row>
    <row r="697" spans="1:27" ht="12.75" customHeight="1">
      <c r="A697" s="157"/>
      <c r="B697" s="157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</row>
    <row r="698" spans="1:27" ht="12.75" customHeight="1">
      <c r="A698" s="157"/>
      <c r="B698" s="157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</row>
    <row r="699" spans="1:27" ht="12.75" customHeight="1">
      <c r="A699" s="157"/>
      <c r="B699" s="157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</row>
    <row r="700" spans="1:27" ht="12.75" customHeight="1">
      <c r="A700" s="157"/>
      <c r="B700" s="157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</row>
    <row r="701" spans="1:27" ht="12.75" customHeight="1">
      <c r="A701" s="157"/>
      <c r="B701" s="157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</row>
    <row r="702" spans="1:27" ht="12.75" customHeight="1">
      <c r="A702" s="157"/>
      <c r="B702" s="157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</row>
    <row r="703" spans="1:27" ht="12.75" customHeight="1">
      <c r="A703" s="157"/>
      <c r="B703" s="157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</row>
    <row r="704" spans="1:27" ht="12.75" customHeight="1">
      <c r="A704" s="157"/>
      <c r="B704" s="157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</row>
    <row r="705" spans="1:27" ht="12.75" customHeight="1">
      <c r="A705" s="157"/>
      <c r="B705" s="157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</row>
    <row r="706" spans="1:27" ht="12.75" customHeight="1">
      <c r="A706" s="157"/>
      <c r="B706" s="157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</row>
    <row r="707" spans="1:27" ht="12.75" customHeight="1">
      <c r="A707" s="157"/>
      <c r="B707" s="157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</row>
    <row r="708" spans="1:27" ht="12.75" customHeight="1">
      <c r="A708" s="157"/>
      <c r="B708" s="157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</row>
    <row r="709" spans="1:27" ht="12.75" customHeight="1">
      <c r="A709" s="157"/>
      <c r="B709" s="157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</row>
    <row r="710" spans="1:27" ht="12.75" customHeight="1">
      <c r="A710" s="157"/>
      <c r="B710" s="157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</row>
    <row r="711" spans="1:27" ht="12.75" customHeight="1">
      <c r="A711" s="157"/>
      <c r="B711" s="157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</row>
    <row r="712" spans="1:27" ht="12.75" customHeight="1">
      <c r="A712" s="157"/>
      <c r="B712" s="157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</row>
    <row r="713" spans="1:27" ht="12.75" customHeight="1">
      <c r="A713" s="157"/>
      <c r="B713" s="157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</row>
    <row r="714" spans="1:27" ht="12.75" customHeight="1">
      <c r="A714" s="157"/>
      <c r="B714" s="157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</row>
    <row r="715" spans="1:27" ht="12.75" customHeight="1">
      <c r="A715" s="157"/>
      <c r="B715" s="157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</row>
    <row r="716" spans="1:27" ht="12.75" customHeight="1">
      <c r="A716" s="157"/>
      <c r="B716" s="157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</row>
    <row r="717" spans="1:27" ht="12.75" customHeight="1">
      <c r="A717" s="157"/>
      <c r="B717" s="157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</row>
    <row r="718" spans="1:27" ht="12.75" customHeight="1">
      <c r="A718" s="157"/>
      <c r="B718" s="157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</row>
    <row r="719" spans="1:27" ht="12.75" customHeight="1">
      <c r="A719" s="157"/>
      <c r="B719" s="157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</row>
    <row r="720" spans="1:27" ht="12.75" customHeight="1">
      <c r="A720" s="157"/>
      <c r="B720" s="157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</row>
    <row r="721" spans="1:27" ht="12.75" customHeight="1">
      <c r="A721" s="157"/>
      <c r="B721" s="157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</row>
    <row r="722" spans="1:27" ht="12.75" customHeight="1">
      <c r="A722" s="157"/>
      <c r="B722" s="157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</row>
    <row r="723" spans="1:27" ht="12.75" customHeight="1">
      <c r="A723" s="157"/>
      <c r="B723" s="157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</row>
    <row r="724" spans="1:27" ht="12.75" customHeight="1">
      <c r="A724" s="157"/>
      <c r="B724" s="157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</row>
    <row r="725" spans="1:27" ht="12.75" customHeight="1">
      <c r="A725" s="157"/>
      <c r="B725" s="157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</row>
    <row r="726" spans="1:27" ht="12.75" customHeight="1">
      <c r="A726" s="157"/>
      <c r="B726" s="157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</row>
    <row r="727" spans="1:27" ht="12.75" customHeight="1">
      <c r="A727" s="157"/>
      <c r="B727" s="157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</row>
    <row r="728" spans="1:27" ht="12.75" customHeight="1">
      <c r="A728" s="157"/>
      <c r="B728" s="157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</row>
    <row r="729" spans="1:27" ht="12.75" customHeight="1">
      <c r="A729" s="157"/>
      <c r="B729" s="157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</row>
    <row r="730" spans="1:27" ht="12.75" customHeight="1">
      <c r="A730" s="157"/>
      <c r="B730" s="157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</row>
    <row r="731" spans="1:27" ht="12.75" customHeight="1">
      <c r="A731" s="157"/>
      <c r="B731" s="157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</row>
    <row r="732" spans="1:27" ht="12.75" customHeight="1">
      <c r="A732" s="157"/>
      <c r="B732" s="157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</row>
    <row r="733" spans="1:27" ht="12.75" customHeight="1">
      <c r="A733" s="157"/>
      <c r="B733" s="157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</row>
    <row r="734" spans="1:27" ht="12.75" customHeight="1">
      <c r="A734" s="157"/>
      <c r="B734" s="157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</row>
    <row r="735" spans="1:27" ht="12.75" customHeight="1">
      <c r="A735" s="157"/>
      <c r="B735" s="157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</row>
    <row r="736" spans="1:27" ht="12.75" customHeight="1">
      <c r="A736" s="157"/>
      <c r="B736" s="157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</row>
    <row r="737" spans="1:27" ht="12.75" customHeight="1">
      <c r="A737" s="157"/>
      <c r="B737" s="157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</row>
    <row r="738" spans="1:27" ht="12.75" customHeight="1">
      <c r="A738" s="157"/>
      <c r="B738" s="157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</row>
    <row r="739" spans="1:27" ht="12.75" customHeight="1">
      <c r="A739" s="157"/>
      <c r="B739" s="157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</row>
    <row r="740" spans="1:27" ht="12.75" customHeight="1">
      <c r="A740" s="157"/>
      <c r="B740" s="157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</row>
    <row r="741" spans="1:27" ht="12.75" customHeight="1">
      <c r="A741" s="157"/>
      <c r="B741" s="157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</row>
    <row r="742" spans="1:27" ht="12.75" customHeight="1">
      <c r="A742" s="157"/>
      <c r="B742" s="157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</row>
    <row r="743" spans="1:27" ht="12.75" customHeight="1">
      <c r="A743" s="157"/>
      <c r="B743" s="157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</row>
    <row r="744" spans="1:27" ht="12.75" customHeight="1">
      <c r="A744" s="157"/>
      <c r="B744" s="157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</row>
    <row r="745" spans="1:27" ht="12.75" customHeight="1">
      <c r="A745" s="157"/>
      <c r="B745" s="157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</row>
    <row r="746" spans="1:27" ht="12.75" customHeight="1">
      <c r="A746" s="157"/>
      <c r="B746" s="157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</row>
    <row r="747" spans="1:27" ht="12.75" customHeight="1">
      <c r="A747" s="157"/>
      <c r="B747" s="157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</row>
    <row r="748" spans="1:27" ht="12.75" customHeight="1">
      <c r="A748" s="157"/>
      <c r="B748" s="157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</row>
    <row r="749" spans="1:27" ht="12.75" customHeight="1">
      <c r="A749" s="157"/>
      <c r="B749" s="157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</row>
    <row r="750" spans="1:27" ht="12.75" customHeight="1">
      <c r="A750" s="157"/>
      <c r="B750" s="157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</row>
    <row r="751" spans="1:27" ht="12.75" customHeight="1">
      <c r="A751" s="157"/>
      <c r="B751" s="157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</row>
    <row r="752" spans="1:27" ht="12.75" customHeight="1">
      <c r="A752" s="157"/>
      <c r="B752" s="157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</row>
    <row r="753" spans="1:27" ht="12.75" customHeight="1">
      <c r="A753" s="157"/>
      <c r="B753" s="157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</row>
    <row r="754" spans="1:27" ht="12.75" customHeight="1">
      <c r="A754" s="157"/>
      <c r="B754" s="157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</row>
    <row r="755" spans="1:27" ht="12.75" customHeight="1">
      <c r="A755" s="157"/>
      <c r="B755" s="157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</row>
    <row r="756" spans="1:27" ht="12.75" customHeight="1">
      <c r="A756" s="157"/>
      <c r="B756" s="157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</row>
    <row r="757" spans="1:27" ht="12.75" customHeight="1">
      <c r="A757" s="157"/>
      <c r="B757" s="157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</row>
    <row r="758" spans="1:27" ht="12.75" customHeight="1">
      <c r="A758" s="157"/>
      <c r="B758" s="157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</row>
    <row r="759" spans="1:27" ht="12.75" customHeight="1">
      <c r="A759" s="157"/>
      <c r="B759" s="157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</row>
    <row r="760" spans="1:27" ht="12.75" customHeight="1">
      <c r="A760" s="157"/>
      <c r="B760" s="157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</row>
    <row r="761" spans="1:27" ht="12.75" customHeight="1">
      <c r="A761" s="157"/>
      <c r="B761" s="157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</row>
    <row r="762" spans="1:27" ht="12.75" customHeight="1">
      <c r="A762" s="157"/>
      <c r="B762" s="157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</row>
    <row r="763" spans="1:27" ht="12.75" customHeight="1">
      <c r="A763" s="157"/>
      <c r="B763" s="157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</row>
    <row r="764" spans="1:27" ht="12.75" customHeight="1">
      <c r="A764" s="157"/>
      <c r="B764" s="157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</row>
    <row r="765" spans="1:27" ht="12.75" customHeight="1">
      <c r="A765" s="157"/>
      <c r="B765" s="157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</row>
    <row r="766" spans="1:27" ht="12.75" customHeight="1">
      <c r="A766" s="157"/>
      <c r="B766" s="157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</row>
    <row r="767" spans="1:27" ht="12.75" customHeight="1">
      <c r="A767" s="157"/>
      <c r="B767" s="157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</row>
    <row r="768" spans="1:27" ht="12.75" customHeight="1">
      <c r="A768" s="157"/>
      <c r="B768" s="157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</row>
    <row r="769" spans="1:27" ht="12.75" customHeight="1">
      <c r="A769" s="157"/>
      <c r="B769" s="157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</row>
    <row r="770" spans="1:27" ht="12.75" customHeight="1">
      <c r="A770" s="157"/>
      <c r="B770" s="157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</row>
    <row r="771" spans="1:27" ht="12.75" customHeight="1">
      <c r="A771" s="157"/>
      <c r="B771" s="157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</row>
    <row r="772" spans="1:27" ht="12.75" customHeight="1">
      <c r="A772" s="157"/>
      <c r="B772" s="157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</row>
    <row r="773" spans="1:27" ht="12.75" customHeight="1">
      <c r="A773" s="157"/>
      <c r="B773" s="157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</row>
    <row r="774" spans="1:27" ht="12.75" customHeight="1">
      <c r="A774" s="157"/>
      <c r="B774" s="157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</row>
    <row r="775" spans="1:27" ht="12.75" customHeight="1">
      <c r="A775" s="157"/>
      <c r="B775" s="157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</row>
    <row r="776" spans="1:27" ht="12.75" customHeight="1">
      <c r="A776" s="157"/>
      <c r="B776" s="157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</row>
    <row r="777" spans="1:27" ht="12.75" customHeight="1">
      <c r="A777" s="157"/>
      <c r="B777" s="157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</row>
    <row r="778" spans="1:27" ht="12.75" customHeight="1">
      <c r="A778" s="157"/>
      <c r="B778" s="157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</row>
    <row r="779" spans="1:27" ht="12.75" customHeight="1">
      <c r="A779" s="157"/>
      <c r="B779" s="157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</row>
    <row r="780" spans="1:27" ht="12.75" customHeight="1">
      <c r="A780" s="157"/>
      <c r="B780" s="157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</row>
    <row r="781" spans="1:27" ht="12.75" customHeight="1">
      <c r="A781" s="157"/>
      <c r="B781" s="157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</row>
    <row r="782" spans="1:27" ht="12.75" customHeight="1">
      <c r="A782" s="157"/>
      <c r="B782" s="157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</row>
    <row r="783" spans="1:27" ht="12.75" customHeight="1">
      <c r="A783" s="157"/>
      <c r="B783" s="157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</row>
    <row r="784" spans="1:27" ht="12.75" customHeight="1">
      <c r="A784" s="157"/>
      <c r="B784" s="157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</row>
    <row r="785" spans="1:27" ht="12.75" customHeight="1">
      <c r="A785" s="157"/>
      <c r="B785" s="157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</row>
    <row r="786" spans="1:27" ht="12.75" customHeight="1">
      <c r="A786" s="157"/>
      <c r="B786" s="157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</row>
    <row r="787" spans="1:27" ht="12.75" customHeight="1">
      <c r="A787" s="157"/>
      <c r="B787" s="157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</row>
    <row r="788" spans="1:27" ht="12.75" customHeight="1">
      <c r="A788" s="157"/>
      <c r="B788" s="157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</row>
    <row r="789" spans="1:27" ht="12.75" customHeight="1">
      <c r="A789" s="157"/>
      <c r="B789" s="157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</row>
    <row r="790" spans="1:27" ht="12.75" customHeight="1">
      <c r="A790" s="157"/>
      <c r="B790" s="157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</row>
    <row r="791" spans="1:27" ht="12.75" customHeight="1">
      <c r="A791" s="157"/>
      <c r="B791" s="157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</row>
    <row r="792" spans="1:27" ht="12.75" customHeight="1">
      <c r="A792" s="157"/>
      <c r="B792" s="157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</row>
    <row r="793" spans="1:27" ht="12.75" customHeight="1">
      <c r="A793" s="157"/>
      <c r="B793" s="157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</row>
    <row r="794" spans="1:27" ht="12.75" customHeight="1">
      <c r="A794" s="157"/>
      <c r="B794" s="157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</row>
    <row r="795" spans="1:27" ht="12.75" customHeight="1">
      <c r="A795" s="157"/>
      <c r="B795" s="157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</row>
    <row r="796" spans="1:27" ht="12.75" customHeight="1">
      <c r="A796" s="157"/>
      <c r="B796" s="157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</row>
    <row r="797" spans="1:27" ht="12.75" customHeight="1">
      <c r="A797" s="157"/>
      <c r="B797" s="157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</row>
    <row r="798" spans="1:27" ht="12.75" customHeight="1">
      <c r="A798" s="157"/>
      <c r="B798" s="157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</row>
    <row r="799" spans="1:27" ht="12.75" customHeight="1">
      <c r="A799" s="157"/>
      <c r="B799" s="157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</row>
    <row r="800" spans="1:27" ht="12.75" customHeight="1">
      <c r="A800" s="157"/>
      <c r="B800" s="157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</row>
    <row r="801" spans="1:27" ht="12.75" customHeight="1">
      <c r="A801" s="157"/>
      <c r="B801" s="157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</row>
    <row r="802" spans="1:27" ht="12.75" customHeight="1">
      <c r="A802" s="157"/>
      <c r="B802" s="157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</row>
    <row r="803" spans="1:27" ht="12.75" customHeight="1">
      <c r="A803" s="157"/>
      <c r="B803" s="157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</row>
    <row r="804" spans="1:27" ht="12.75" customHeight="1">
      <c r="A804" s="157"/>
      <c r="B804" s="157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</row>
    <row r="805" spans="1:27" ht="12.75" customHeight="1">
      <c r="A805" s="157"/>
      <c r="B805" s="157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</row>
    <row r="806" spans="1:27" ht="12.75" customHeight="1">
      <c r="A806" s="157"/>
      <c r="B806" s="157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</row>
    <row r="807" spans="1:27" ht="12.75" customHeight="1">
      <c r="A807" s="157"/>
      <c r="B807" s="157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</row>
    <row r="808" spans="1:27" ht="12.75" customHeight="1">
      <c r="A808" s="157"/>
      <c r="B808" s="157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</row>
    <row r="809" spans="1:27" ht="12.75" customHeight="1">
      <c r="A809" s="157"/>
      <c r="B809" s="157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</row>
    <row r="810" spans="1:27" ht="12.75" customHeight="1">
      <c r="A810" s="157"/>
      <c r="B810" s="157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</row>
    <row r="811" spans="1:27" ht="12.75" customHeight="1">
      <c r="A811" s="157"/>
      <c r="B811" s="157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</row>
    <row r="812" spans="1:27" ht="12.75" customHeight="1">
      <c r="A812" s="157"/>
      <c r="B812" s="157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</row>
    <row r="813" spans="1:27" ht="12.75" customHeight="1">
      <c r="A813" s="157"/>
      <c r="B813" s="157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</row>
    <row r="814" spans="1:27" ht="12.75" customHeight="1">
      <c r="A814" s="157"/>
      <c r="B814" s="157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</row>
    <row r="815" spans="1:27" ht="12.75" customHeight="1">
      <c r="A815" s="157"/>
      <c r="B815" s="157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</row>
    <row r="816" spans="1:27" ht="12.75" customHeight="1">
      <c r="A816" s="157"/>
      <c r="B816" s="157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</row>
    <row r="817" spans="1:27" ht="12.75" customHeight="1">
      <c r="A817" s="157"/>
      <c r="B817" s="157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</row>
    <row r="818" spans="1:27" ht="12.75" customHeight="1">
      <c r="A818" s="157"/>
      <c r="B818" s="157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</row>
    <row r="819" spans="1:27" ht="12.75" customHeight="1">
      <c r="A819" s="157"/>
      <c r="B819" s="157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</row>
    <row r="820" spans="1:27" ht="12.75" customHeight="1">
      <c r="A820" s="157"/>
      <c r="B820" s="157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</row>
    <row r="821" spans="1:27" ht="12.75" customHeight="1">
      <c r="A821" s="157"/>
      <c r="B821" s="157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</row>
    <row r="822" spans="1:27" ht="12.75" customHeight="1">
      <c r="A822" s="157"/>
      <c r="B822" s="157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</row>
    <row r="823" spans="1:27" ht="12.75" customHeight="1">
      <c r="A823" s="157"/>
      <c r="B823" s="157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</row>
    <row r="824" spans="1:27" ht="12.75" customHeight="1">
      <c r="A824" s="157"/>
      <c r="B824" s="157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</row>
    <row r="825" spans="1:27" ht="12.75" customHeight="1">
      <c r="A825" s="157"/>
      <c r="B825" s="157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</row>
    <row r="826" spans="1:27" ht="12.75" customHeight="1">
      <c r="A826" s="157"/>
      <c r="B826" s="157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</row>
    <row r="827" spans="1:27" ht="12.75" customHeight="1">
      <c r="A827" s="157"/>
      <c r="B827" s="157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</row>
    <row r="828" spans="1:27" ht="12.75" customHeight="1">
      <c r="A828" s="157"/>
      <c r="B828" s="157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</row>
    <row r="829" spans="1:27" ht="12.75" customHeight="1">
      <c r="A829" s="157"/>
      <c r="B829" s="157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</row>
    <row r="830" spans="1:27" ht="12.75" customHeight="1">
      <c r="A830" s="157"/>
      <c r="B830" s="157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</row>
    <row r="831" spans="1:27" ht="12.75" customHeight="1">
      <c r="A831" s="157"/>
      <c r="B831" s="157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</row>
    <row r="832" spans="1:27" ht="12.75" customHeight="1">
      <c r="A832" s="157"/>
      <c r="B832" s="157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</row>
    <row r="833" spans="1:27" ht="12.75" customHeight="1">
      <c r="A833" s="157"/>
      <c r="B833" s="157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</row>
    <row r="834" spans="1:27" ht="12.75" customHeight="1">
      <c r="A834" s="157"/>
      <c r="B834" s="157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</row>
    <row r="835" spans="1:27" ht="12.75" customHeight="1">
      <c r="A835" s="157"/>
      <c r="B835" s="157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</row>
    <row r="836" spans="1:27" ht="12.75" customHeight="1">
      <c r="A836" s="157"/>
      <c r="B836" s="157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</row>
    <row r="837" spans="1:27" ht="12.75" customHeight="1">
      <c r="A837" s="157"/>
      <c r="B837" s="157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</row>
    <row r="838" spans="1:27" ht="12.75" customHeight="1">
      <c r="A838" s="157"/>
      <c r="B838" s="157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</row>
    <row r="839" spans="1:27" ht="12.75" customHeight="1">
      <c r="A839" s="157"/>
      <c r="B839" s="157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</row>
    <row r="840" spans="1:27" ht="12.75" customHeight="1">
      <c r="A840" s="157"/>
      <c r="B840" s="157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</row>
    <row r="841" spans="1:27" ht="12.75" customHeight="1">
      <c r="A841" s="157"/>
      <c r="B841" s="157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</row>
    <row r="842" spans="1:27" ht="12.75" customHeight="1">
      <c r="A842" s="157"/>
      <c r="B842" s="157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</row>
    <row r="843" spans="1:27" ht="12.75" customHeight="1">
      <c r="A843" s="157"/>
      <c r="B843" s="157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</row>
    <row r="844" spans="1:27" ht="12.75" customHeight="1">
      <c r="A844" s="157"/>
      <c r="B844" s="157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</row>
    <row r="845" spans="1:27" ht="12.75" customHeight="1">
      <c r="A845" s="157"/>
      <c r="B845" s="157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</row>
    <row r="846" spans="1:27" ht="12.75" customHeight="1">
      <c r="A846" s="157"/>
      <c r="B846" s="157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</row>
    <row r="847" spans="1:27" ht="12.75" customHeight="1">
      <c r="A847" s="157"/>
      <c r="B847" s="157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</row>
    <row r="848" spans="1:27" ht="12.75" customHeight="1">
      <c r="A848" s="157"/>
      <c r="B848" s="157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</row>
    <row r="849" spans="1:27" ht="12.75" customHeight="1">
      <c r="A849" s="157"/>
      <c r="B849" s="157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</row>
    <row r="850" spans="1:27" ht="12.75" customHeight="1">
      <c r="A850" s="157"/>
      <c r="B850" s="157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</row>
    <row r="851" spans="1:27" ht="12.75" customHeight="1">
      <c r="A851" s="157"/>
      <c r="B851" s="157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</row>
    <row r="852" spans="1:27" ht="12.75" customHeight="1">
      <c r="A852" s="157"/>
      <c r="B852" s="157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</row>
    <row r="853" spans="1:27" ht="12.75" customHeight="1">
      <c r="A853" s="157"/>
      <c r="B853" s="157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</row>
    <row r="854" spans="1:27" ht="12.75" customHeight="1">
      <c r="A854" s="157"/>
      <c r="B854" s="157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</row>
    <row r="855" spans="1:27" ht="12.75" customHeight="1">
      <c r="A855" s="157"/>
      <c r="B855" s="157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</row>
    <row r="856" spans="1:27" ht="12.75" customHeight="1">
      <c r="A856" s="157"/>
      <c r="B856" s="157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</row>
    <row r="857" spans="1:27" ht="12.75" customHeight="1">
      <c r="A857" s="157"/>
      <c r="B857" s="157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</row>
    <row r="858" spans="1:27" ht="12.75" customHeight="1">
      <c r="A858" s="157"/>
      <c r="B858" s="157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</row>
    <row r="859" spans="1:27" ht="12.75" customHeight="1">
      <c r="A859" s="157"/>
      <c r="B859" s="157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</row>
    <row r="860" spans="1:27" ht="12.75" customHeight="1">
      <c r="A860" s="157"/>
      <c r="B860" s="157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</row>
    <row r="861" spans="1:27" ht="12.75" customHeight="1">
      <c r="A861" s="157"/>
      <c r="B861" s="157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</row>
    <row r="862" spans="1:27" ht="12.75" customHeight="1">
      <c r="A862" s="157"/>
      <c r="B862" s="157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</row>
    <row r="863" spans="1:27" ht="12.75" customHeight="1">
      <c r="A863" s="157"/>
      <c r="B863" s="157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</row>
    <row r="864" spans="1:27" ht="12.75" customHeight="1">
      <c r="A864" s="157"/>
      <c r="B864" s="157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</row>
    <row r="865" spans="1:27" ht="12.75" customHeight="1">
      <c r="A865" s="157"/>
      <c r="B865" s="157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</row>
    <row r="866" spans="1:27" ht="12.75" customHeight="1">
      <c r="A866" s="157"/>
      <c r="B866" s="157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</row>
    <row r="867" spans="1:27" ht="12.75" customHeight="1">
      <c r="A867" s="157"/>
      <c r="B867" s="157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</row>
    <row r="868" spans="1:27" ht="12.75" customHeight="1">
      <c r="A868" s="157"/>
      <c r="B868" s="157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</row>
    <row r="869" spans="1:27" ht="12.75" customHeight="1">
      <c r="A869" s="157"/>
      <c r="B869" s="157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</row>
    <row r="870" spans="1:27" ht="12.75" customHeight="1">
      <c r="A870" s="157"/>
      <c r="B870" s="157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</row>
    <row r="871" spans="1:27" ht="12.75" customHeight="1">
      <c r="A871" s="157"/>
      <c r="B871" s="157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</row>
    <row r="872" spans="1:27" ht="12.75" customHeight="1">
      <c r="A872" s="157"/>
      <c r="B872" s="157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</row>
    <row r="873" spans="1:27" ht="12.75" customHeight="1">
      <c r="A873" s="157"/>
      <c r="B873" s="157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</row>
    <row r="874" spans="1:27" ht="12.75" customHeight="1">
      <c r="A874" s="157"/>
      <c r="B874" s="157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</row>
    <row r="875" spans="1:27" ht="12.75" customHeight="1">
      <c r="A875" s="157"/>
      <c r="B875" s="157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</row>
    <row r="876" spans="1:27" ht="12.75" customHeight="1">
      <c r="A876" s="157"/>
      <c r="B876" s="157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</row>
    <row r="877" spans="1:27" ht="12.75" customHeight="1">
      <c r="A877" s="157"/>
      <c r="B877" s="157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</row>
    <row r="878" spans="1:27" ht="12.75" customHeight="1">
      <c r="A878" s="157"/>
      <c r="B878" s="157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</row>
    <row r="879" spans="1:27" ht="12.75" customHeight="1">
      <c r="A879" s="157"/>
      <c r="B879" s="157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</row>
    <row r="880" spans="1:27" ht="12.75" customHeight="1">
      <c r="A880" s="157"/>
      <c r="B880" s="157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</row>
    <row r="881" spans="1:27" ht="12.75" customHeight="1">
      <c r="A881" s="157"/>
      <c r="B881" s="157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</row>
    <row r="882" spans="1:27" ht="12.75" customHeight="1">
      <c r="A882" s="157"/>
      <c r="B882" s="157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</row>
    <row r="883" spans="1:27" ht="12.75" customHeight="1">
      <c r="A883" s="157"/>
      <c r="B883" s="157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</row>
    <row r="884" spans="1:27" ht="12.75" customHeight="1">
      <c r="A884" s="157"/>
      <c r="B884" s="157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</row>
    <row r="885" spans="1:27" ht="12.75" customHeight="1">
      <c r="A885" s="157"/>
      <c r="B885" s="157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</row>
    <row r="886" spans="1:27" ht="12.75" customHeight="1">
      <c r="A886" s="157"/>
      <c r="B886" s="157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</row>
    <row r="887" spans="1:27" ht="12.75" customHeight="1">
      <c r="A887" s="157"/>
      <c r="B887" s="157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</row>
    <row r="888" spans="1:27" ht="12.75" customHeight="1">
      <c r="A888" s="157"/>
      <c r="B888" s="157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</row>
    <row r="889" spans="1:27" ht="12.75" customHeight="1">
      <c r="A889" s="157"/>
      <c r="B889" s="157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</row>
    <row r="890" spans="1:27" ht="12.75" customHeight="1">
      <c r="A890" s="157"/>
      <c r="B890" s="157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</row>
    <row r="891" spans="1:27" ht="12.75" customHeight="1">
      <c r="A891" s="157"/>
      <c r="B891" s="157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</row>
    <row r="892" spans="1:27" ht="12.75" customHeight="1">
      <c r="A892" s="157"/>
      <c r="B892" s="157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</row>
    <row r="893" spans="1:27" ht="12.75" customHeight="1">
      <c r="A893" s="157"/>
      <c r="B893" s="157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</row>
    <row r="894" spans="1:27" ht="12.75" customHeight="1">
      <c r="A894" s="157"/>
      <c r="B894" s="157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</row>
    <row r="895" spans="1:27" ht="12.75" customHeight="1">
      <c r="A895" s="157"/>
      <c r="B895" s="157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</row>
    <row r="896" spans="1:27" ht="12.75" customHeight="1">
      <c r="A896" s="157"/>
      <c r="B896" s="157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</row>
    <row r="897" spans="1:27" ht="12.75" customHeight="1">
      <c r="A897" s="157"/>
      <c r="B897" s="157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</row>
    <row r="898" spans="1:27" ht="12.75" customHeight="1">
      <c r="A898" s="157"/>
      <c r="B898" s="157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</row>
    <row r="899" spans="1:27" ht="12.75" customHeight="1">
      <c r="A899" s="157"/>
      <c r="B899" s="157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</row>
    <row r="900" spans="1:27" ht="12.75" customHeight="1">
      <c r="A900" s="157"/>
      <c r="B900" s="157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</row>
    <row r="901" spans="1:27" ht="12.75" customHeight="1">
      <c r="A901" s="157"/>
      <c r="B901" s="157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</row>
    <row r="902" spans="1:27" ht="12.75" customHeight="1">
      <c r="A902" s="157"/>
      <c r="B902" s="157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</row>
    <row r="903" spans="1:27" ht="12.75" customHeight="1">
      <c r="A903" s="157"/>
      <c r="B903" s="157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</row>
    <row r="904" spans="1:27" ht="12.75" customHeight="1">
      <c r="A904" s="157"/>
      <c r="B904" s="157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</row>
    <row r="905" spans="1:27" ht="12.75" customHeight="1">
      <c r="A905" s="157"/>
      <c r="B905" s="157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</row>
    <row r="906" spans="1:27" ht="12.75" customHeight="1">
      <c r="A906" s="157"/>
      <c r="B906" s="157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</row>
    <row r="907" spans="1:27" ht="12.75" customHeight="1">
      <c r="A907" s="157"/>
      <c r="B907" s="157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</row>
    <row r="908" spans="1:27" ht="12.75" customHeight="1">
      <c r="A908" s="157"/>
      <c r="B908" s="157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</row>
    <row r="909" spans="1:27" ht="12.75" customHeight="1">
      <c r="A909" s="157"/>
      <c r="B909" s="157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</row>
    <row r="910" spans="1:27" ht="12.75" customHeight="1">
      <c r="A910" s="157"/>
      <c r="B910" s="157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</row>
    <row r="911" spans="1:27" ht="12.75" customHeight="1">
      <c r="A911" s="157"/>
      <c r="B911" s="157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</row>
    <row r="912" spans="1:27" ht="12.75" customHeight="1">
      <c r="A912" s="157"/>
      <c r="B912" s="157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</row>
    <row r="913" spans="1:27" ht="12.75" customHeight="1">
      <c r="A913" s="157"/>
      <c r="B913" s="157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</row>
    <row r="914" spans="1:27" ht="12.75" customHeight="1">
      <c r="A914" s="157"/>
      <c r="B914" s="157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</row>
    <row r="915" spans="1:27" ht="12.75" customHeight="1">
      <c r="A915" s="157"/>
      <c r="B915" s="157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</row>
    <row r="916" spans="1:27" ht="12.75" customHeight="1">
      <c r="A916" s="157"/>
      <c r="B916" s="157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</row>
    <row r="917" spans="1:27" ht="12.75" customHeight="1">
      <c r="A917" s="157"/>
      <c r="B917" s="157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</row>
    <row r="918" spans="1:27" ht="12.75" customHeight="1">
      <c r="A918" s="157"/>
      <c r="B918" s="157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</row>
    <row r="919" spans="1:27" ht="12.75" customHeight="1">
      <c r="A919" s="157"/>
      <c r="B919" s="157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</row>
    <row r="920" spans="1:27" ht="12.75" customHeight="1">
      <c r="A920" s="157"/>
      <c r="B920" s="157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</row>
    <row r="921" spans="1:27" ht="12.75" customHeight="1">
      <c r="A921" s="157"/>
      <c r="B921" s="157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</row>
    <row r="922" spans="1:27" ht="12.75" customHeight="1">
      <c r="A922" s="157"/>
      <c r="B922" s="157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</row>
    <row r="923" spans="1:27" ht="12.75" customHeight="1">
      <c r="A923" s="157"/>
      <c r="B923" s="157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</row>
    <row r="924" spans="1:27" ht="12.75" customHeight="1">
      <c r="A924" s="157"/>
      <c r="B924" s="157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</row>
    <row r="925" spans="1:27" ht="12.75" customHeight="1">
      <c r="A925" s="157"/>
      <c r="B925" s="157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</row>
    <row r="926" spans="1:27" ht="12.75" customHeight="1">
      <c r="A926" s="157"/>
      <c r="B926" s="157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</row>
    <row r="927" spans="1:27" ht="12.75" customHeight="1">
      <c r="A927" s="157"/>
      <c r="B927" s="157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</row>
    <row r="928" spans="1:27" ht="12.75" customHeight="1">
      <c r="A928" s="157"/>
      <c r="B928" s="157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</row>
    <row r="929" spans="1:27" ht="12.75" customHeight="1">
      <c r="A929" s="157"/>
      <c r="B929" s="157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</row>
    <row r="930" spans="1:27" ht="12.75" customHeight="1">
      <c r="A930" s="157"/>
      <c r="B930" s="157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</row>
    <row r="931" spans="1:27" ht="12.75" customHeight="1">
      <c r="A931" s="157"/>
      <c r="B931" s="157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</row>
    <row r="932" spans="1:27" ht="12.75" customHeight="1">
      <c r="A932" s="157"/>
      <c r="B932" s="157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</row>
    <row r="933" spans="1:27" ht="12.75" customHeight="1">
      <c r="A933" s="157"/>
      <c r="B933" s="157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</row>
    <row r="934" spans="1:27" ht="12.75" customHeight="1">
      <c r="A934" s="157"/>
      <c r="B934" s="157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</row>
    <row r="935" spans="1:27" ht="12.75" customHeight="1">
      <c r="A935" s="157"/>
      <c r="B935" s="157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</row>
    <row r="936" spans="1:27" ht="12.75" customHeight="1">
      <c r="A936" s="157"/>
      <c r="B936" s="157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</row>
    <row r="937" spans="1:27" ht="12.75" customHeight="1">
      <c r="A937" s="157"/>
      <c r="B937" s="157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</row>
    <row r="938" spans="1:27" ht="12.75" customHeight="1">
      <c r="A938" s="157"/>
      <c r="B938" s="157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</row>
    <row r="939" spans="1:27" ht="12.75" customHeight="1">
      <c r="A939" s="157"/>
      <c r="B939" s="157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</row>
    <row r="940" spans="1:27" ht="12.75" customHeight="1">
      <c r="A940" s="157"/>
      <c r="B940" s="157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</row>
    <row r="941" spans="1:27" ht="12.75" customHeight="1">
      <c r="A941" s="157"/>
      <c r="B941" s="157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</row>
    <row r="942" spans="1:27" ht="12.75" customHeight="1">
      <c r="A942" s="157"/>
      <c r="B942" s="157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</row>
    <row r="943" spans="1:27" ht="12.75" customHeight="1">
      <c r="A943" s="157"/>
      <c r="B943" s="157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</row>
    <row r="944" spans="1:27" ht="12.75" customHeight="1">
      <c r="A944" s="157"/>
      <c r="B944" s="157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</row>
    <row r="945" spans="1:27" ht="12.75" customHeight="1">
      <c r="A945" s="157"/>
      <c r="B945" s="157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</row>
    <row r="946" spans="1:27" ht="12.75" customHeight="1">
      <c r="A946" s="157"/>
      <c r="B946" s="157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</row>
    <row r="947" spans="1:27" ht="12.75" customHeight="1">
      <c r="A947" s="157"/>
      <c r="B947" s="157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</row>
    <row r="948" spans="1:27" ht="12.75" customHeight="1">
      <c r="A948" s="157"/>
      <c r="B948" s="157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</row>
    <row r="949" spans="1:27" ht="12.75" customHeight="1">
      <c r="A949" s="157"/>
      <c r="B949" s="157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</row>
    <row r="950" spans="1:27" ht="12.75" customHeight="1">
      <c r="A950" s="157"/>
      <c r="B950" s="157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</row>
    <row r="951" spans="1:27" ht="12.75" customHeight="1">
      <c r="A951" s="157"/>
      <c r="B951" s="157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</row>
    <row r="952" spans="1:27" ht="12.75" customHeight="1">
      <c r="A952" s="157"/>
      <c r="B952" s="157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</row>
    <row r="953" spans="1:27" ht="12.75" customHeight="1">
      <c r="A953" s="157"/>
      <c r="B953" s="157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</row>
    <row r="954" spans="1:27" ht="12.75" customHeight="1">
      <c r="A954" s="157"/>
      <c r="B954" s="157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</row>
    <row r="955" spans="1:27" ht="12.75" customHeight="1">
      <c r="A955" s="157"/>
      <c r="B955" s="157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</row>
    <row r="956" spans="1:27" ht="12.75" customHeight="1">
      <c r="A956" s="157"/>
      <c r="B956" s="157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</row>
    <row r="957" spans="1:27" ht="12.75" customHeight="1">
      <c r="A957" s="157"/>
      <c r="B957" s="157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</row>
    <row r="958" spans="1:27" ht="12.75" customHeight="1">
      <c r="A958" s="157"/>
      <c r="B958" s="157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</row>
    <row r="959" spans="1:27" ht="12.75" customHeight="1">
      <c r="A959" s="157"/>
      <c r="B959" s="157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</row>
    <row r="960" spans="1:27" ht="12.75" customHeight="1">
      <c r="A960" s="157"/>
      <c r="B960" s="157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</row>
    <row r="961" spans="1:27" ht="12.75" customHeight="1">
      <c r="A961" s="157"/>
      <c r="B961" s="157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</row>
    <row r="962" spans="1:27" ht="12.75" customHeight="1">
      <c r="A962" s="157"/>
      <c r="B962" s="157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</row>
    <row r="963" spans="1:27" ht="12.75" customHeight="1">
      <c r="A963" s="157"/>
      <c r="B963" s="157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</row>
    <row r="964" spans="1:27" ht="12.75" customHeight="1">
      <c r="A964" s="157"/>
      <c r="B964" s="157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</row>
    <row r="965" spans="1:27" ht="12.75" customHeight="1">
      <c r="A965" s="157"/>
      <c r="B965" s="157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</row>
    <row r="966" spans="1:27" ht="12.75" customHeight="1">
      <c r="A966" s="157"/>
      <c r="B966" s="157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</row>
    <row r="967" spans="1:27" ht="12.75" customHeight="1">
      <c r="A967" s="157"/>
      <c r="B967" s="157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</row>
    <row r="968" spans="1:27" ht="12.75" customHeight="1">
      <c r="A968" s="157"/>
      <c r="B968" s="157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</row>
  </sheetData>
  <mergeCells count="6">
    <mergeCell ref="P31:T34"/>
    <mergeCell ref="P37:T40"/>
    <mergeCell ref="F7:H7"/>
    <mergeCell ref="I7:M7"/>
    <mergeCell ref="P7:T7"/>
    <mergeCell ref="P8:S8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BE9FF"/>
  </sheetPr>
  <dimension ref="A1:Z1000"/>
  <sheetViews>
    <sheetView showGridLines="0" workbookViewId="0"/>
  </sheetViews>
  <sheetFormatPr defaultColWidth="14.44140625" defaultRowHeight="15" customHeight="1"/>
  <cols>
    <col min="1" max="1" width="2.77734375" customWidth="1"/>
    <col min="2" max="26" width="15.777343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3" t="s">
        <v>38</v>
      </c>
      <c r="C2" s="1"/>
      <c r="D2" s="1"/>
      <c r="E2" s="1"/>
      <c r="F2" s="1"/>
      <c r="G2" s="4" t="s">
        <v>39</v>
      </c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5"/>
      <c r="B3" s="5" t="s">
        <v>40</v>
      </c>
      <c r="C3" s="5"/>
      <c r="D3" s="5"/>
      <c r="E3" s="5"/>
      <c r="F3" s="5"/>
      <c r="G3" s="6" t="e">
        <f>#REF!</f>
        <v>#REF!</v>
      </c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0" t="s">
        <v>41</v>
      </c>
      <c r="C5" s="21"/>
      <c r="D5" s="21"/>
      <c r="E5" s="21"/>
      <c r="F5" s="22">
        <v>2021</v>
      </c>
      <c r="G5" s="22">
        <f t="shared" ref="G5:M5" si="0">F5+1</f>
        <v>2022</v>
      </c>
      <c r="H5" s="23">
        <f t="shared" si="0"/>
        <v>2023</v>
      </c>
      <c r="I5" s="24">
        <f t="shared" si="0"/>
        <v>2024</v>
      </c>
      <c r="J5" s="24">
        <f t="shared" si="0"/>
        <v>2025</v>
      </c>
      <c r="K5" s="24">
        <f t="shared" si="0"/>
        <v>2026</v>
      </c>
      <c r="L5" s="24">
        <f t="shared" si="0"/>
        <v>2027</v>
      </c>
      <c r="M5" s="25">
        <f t="shared" si="0"/>
        <v>2028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 t="s">
        <v>42</v>
      </c>
      <c r="B7" s="26" t="s">
        <v>43</v>
      </c>
      <c r="C7" s="26"/>
      <c r="D7" s="26"/>
      <c r="E7" s="26"/>
      <c r="F7" s="26"/>
      <c r="G7" s="26"/>
      <c r="H7" s="8"/>
      <c r="I7" s="26"/>
      <c r="J7" s="26"/>
      <c r="K7" s="26"/>
      <c r="L7" s="26"/>
      <c r="M7" s="2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9" t="s">
        <v>44</v>
      </c>
      <c r="C9" s="9"/>
      <c r="D9" s="9"/>
      <c r="E9" s="9"/>
      <c r="F9" s="10"/>
      <c r="G9" s="10"/>
      <c r="H9" s="11"/>
      <c r="I9" s="10"/>
      <c r="J9" s="10"/>
      <c r="K9" s="10"/>
      <c r="L9" s="10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5" t="s">
        <v>45</v>
      </c>
      <c r="C10" s="5"/>
      <c r="D10" s="5"/>
      <c r="E10" s="5"/>
      <c r="F10" s="12"/>
      <c r="G10" s="12"/>
      <c r="H10" s="13"/>
      <c r="I10" s="1" t="s">
        <v>46</v>
      </c>
      <c r="J10" s="12"/>
      <c r="K10" s="12"/>
      <c r="L10" s="12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 t="s">
        <v>0</v>
      </c>
      <c r="C11" s="1"/>
      <c r="D11" s="1"/>
      <c r="E11" s="1"/>
      <c r="F11" s="14"/>
      <c r="G11" s="14"/>
      <c r="H11" s="15"/>
      <c r="I11" s="16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 t="s">
        <v>47</v>
      </c>
      <c r="C12" s="1"/>
      <c r="D12" s="1"/>
      <c r="E12" s="1"/>
      <c r="F12" s="14"/>
      <c r="G12" s="14"/>
      <c r="H12" s="15"/>
      <c r="I12" s="16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 t="s">
        <v>2</v>
      </c>
      <c r="C13" s="1"/>
      <c r="D13" s="1"/>
      <c r="E13" s="1"/>
      <c r="F13" s="14"/>
      <c r="G13" s="14"/>
      <c r="H13" s="15"/>
      <c r="I13" s="16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9" t="s">
        <v>48</v>
      </c>
      <c r="C15" s="9"/>
      <c r="D15" s="9"/>
      <c r="E15" s="9"/>
      <c r="F15" s="10"/>
      <c r="G15" s="10"/>
      <c r="H15" s="11"/>
      <c r="I15" s="10"/>
      <c r="J15" s="10"/>
      <c r="K15" s="10"/>
      <c r="L15" s="10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5" t="s">
        <v>16</v>
      </c>
      <c r="C16" s="5"/>
      <c r="D16" s="5"/>
      <c r="E16" s="5"/>
      <c r="F16" s="12"/>
      <c r="G16" s="12"/>
      <c r="H16" s="13"/>
      <c r="I16" s="1" t="s">
        <v>46</v>
      </c>
      <c r="J16" s="12"/>
      <c r="K16" s="12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 t="s">
        <v>0</v>
      </c>
      <c r="C17" s="1"/>
      <c r="D17" s="1"/>
      <c r="E17" s="1"/>
      <c r="F17" s="14"/>
      <c r="G17" s="14"/>
      <c r="H17" s="15"/>
      <c r="I17" s="16"/>
      <c r="J17" s="16"/>
      <c r="K17" s="16"/>
      <c r="L17" s="16"/>
      <c r="M17" s="1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 t="s">
        <v>47</v>
      </c>
      <c r="C18" s="1"/>
      <c r="D18" s="1"/>
      <c r="E18" s="1"/>
      <c r="F18" s="14"/>
      <c r="G18" s="14"/>
      <c r="H18" s="15"/>
      <c r="I18" s="16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 t="s">
        <v>2</v>
      </c>
      <c r="C19" s="1"/>
      <c r="D19" s="1"/>
      <c r="E19" s="1"/>
      <c r="F19" s="14"/>
      <c r="G19" s="14"/>
      <c r="H19" s="15"/>
      <c r="I19" s="16"/>
      <c r="J19" s="16"/>
      <c r="K19" s="16"/>
      <c r="L19" s="16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 t="s">
        <v>42</v>
      </c>
      <c r="B34" s="26" t="s">
        <v>49</v>
      </c>
      <c r="C34" s="26"/>
      <c r="D34" s="26"/>
      <c r="E34" s="26"/>
      <c r="F34" s="26"/>
      <c r="G34" s="26"/>
      <c r="H34" s="8"/>
      <c r="I34" s="26"/>
      <c r="J34" s="26"/>
      <c r="K34" s="26"/>
      <c r="L34" s="26"/>
      <c r="M34" s="2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9"/>
      <c r="B36" s="9" t="s">
        <v>17</v>
      </c>
      <c r="C36" s="9"/>
      <c r="D36" s="9"/>
      <c r="E36" s="9"/>
      <c r="F36" s="10"/>
      <c r="G36" s="10"/>
      <c r="H36" s="11"/>
      <c r="I36" s="10"/>
      <c r="J36" s="10"/>
      <c r="K36" s="10"/>
      <c r="L36" s="10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5"/>
      <c r="B37" s="5" t="s">
        <v>45</v>
      </c>
      <c r="C37" s="5"/>
      <c r="D37" s="5"/>
      <c r="E37" s="5"/>
      <c r="F37" s="12"/>
      <c r="G37" s="12"/>
      <c r="H37" s="13"/>
      <c r="I37" s="1" t="s">
        <v>46</v>
      </c>
      <c r="J37" s="12"/>
      <c r="K37" s="12"/>
      <c r="L37" s="12"/>
      <c r="M37" s="12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1"/>
      <c r="B38" s="1" t="s">
        <v>0</v>
      </c>
      <c r="C38" s="1"/>
      <c r="D38" s="1"/>
      <c r="E38" s="1"/>
      <c r="F38" s="14"/>
      <c r="G38" s="14"/>
      <c r="H38" s="15"/>
      <c r="I38" s="16"/>
      <c r="J38" s="16"/>
      <c r="K38" s="16"/>
      <c r="L38" s="16"/>
      <c r="M38" s="1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 t="s">
        <v>47</v>
      </c>
      <c r="C39" s="1"/>
      <c r="D39" s="1"/>
      <c r="E39" s="1"/>
      <c r="F39" s="14"/>
      <c r="G39" s="14"/>
      <c r="H39" s="15"/>
      <c r="I39" s="16"/>
      <c r="J39" s="16"/>
      <c r="K39" s="16"/>
      <c r="L39" s="16"/>
      <c r="M39" s="1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 t="s">
        <v>2</v>
      </c>
      <c r="C40" s="1"/>
      <c r="D40" s="1"/>
      <c r="E40" s="1"/>
      <c r="F40" s="14"/>
      <c r="G40" s="14"/>
      <c r="H40" s="15"/>
      <c r="I40" s="16"/>
      <c r="J40" s="16"/>
      <c r="K40" s="16"/>
      <c r="L40" s="16"/>
      <c r="M40" s="1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9" t="s">
        <v>19</v>
      </c>
      <c r="C42" s="9"/>
      <c r="D42" s="9"/>
      <c r="E42" s="9"/>
      <c r="F42" s="10"/>
      <c r="G42" s="10"/>
      <c r="H42" s="11"/>
      <c r="I42" s="10"/>
      <c r="J42" s="10"/>
      <c r="K42" s="10"/>
      <c r="L42" s="10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5" t="s">
        <v>45</v>
      </c>
      <c r="C43" s="5"/>
      <c r="D43" s="5"/>
      <c r="E43" s="5"/>
      <c r="F43" s="12"/>
      <c r="G43" s="12"/>
      <c r="H43" s="13"/>
      <c r="I43" s="12"/>
      <c r="J43" s="12"/>
      <c r="K43" s="12"/>
      <c r="L43" s="12"/>
      <c r="M43" s="1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 t="s">
        <v>0</v>
      </c>
      <c r="C44" s="1"/>
      <c r="D44" s="1"/>
      <c r="E44" s="1"/>
      <c r="F44" s="14"/>
      <c r="G44" s="14"/>
      <c r="H44" s="15"/>
      <c r="I44" s="16"/>
      <c r="J44" s="16"/>
      <c r="K44" s="16"/>
      <c r="L44" s="16"/>
      <c r="M44" s="1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 t="s">
        <v>47</v>
      </c>
      <c r="C45" s="1"/>
      <c r="D45" s="1"/>
      <c r="E45" s="1"/>
      <c r="F45" s="14"/>
      <c r="G45" s="14"/>
      <c r="H45" s="15"/>
      <c r="I45" s="16"/>
      <c r="J45" s="16"/>
      <c r="K45" s="16"/>
      <c r="L45" s="16"/>
      <c r="M45" s="1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 t="s">
        <v>2</v>
      </c>
      <c r="C46" s="1"/>
      <c r="D46" s="1"/>
      <c r="E46" s="1"/>
      <c r="F46" s="14"/>
      <c r="G46" s="14"/>
      <c r="H46" s="15"/>
      <c r="I46" s="16"/>
      <c r="J46" s="16"/>
      <c r="K46" s="16"/>
      <c r="L46" s="16"/>
      <c r="M46" s="1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9" t="s">
        <v>50</v>
      </c>
      <c r="C48" s="9"/>
      <c r="D48" s="9"/>
      <c r="E48" s="9"/>
      <c r="F48" s="10"/>
      <c r="G48" s="10"/>
      <c r="H48" s="11"/>
      <c r="I48" s="10"/>
      <c r="J48" s="10"/>
      <c r="K48" s="10"/>
      <c r="L48" s="10"/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5" t="s">
        <v>51</v>
      </c>
      <c r="C49" s="5"/>
      <c r="D49" s="5"/>
      <c r="E49" s="5"/>
      <c r="F49" s="12"/>
      <c r="G49" s="12"/>
      <c r="H49" s="13"/>
      <c r="I49" s="12"/>
      <c r="J49" s="12"/>
      <c r="K49" s="12"/>
      <c r="L49" s="12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 t="s">
        <v>0</v>
      </c>
      <c r="C50" s="1"/>
      <c r="D50" s="1"/>
      <c r="E50" s="1"/>
      <c r="F50" s="14"/>
      <c r="G50" s="14"/>
      <c r="H50" s="15"/>
      <c r="I50" s="16"/>
      <c r="J50" s="16"/>
      <c r="K50" s="16"/>
      <c r="L50" s="16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 t="s">
        <v>47</v>
      </c>
      <c r="C51" s="1"/>
      <c r="D51" s="1"/>
      <c r="E51" s="1"/>
      <c r="F51" s="14"/>
      <c r="G51" s="14"/>
      <c r="H51" s="15"/>
      <c r="I51" s="16"/>
      <c r="J51" s="16"/>
      <c r="K51" s="16"/>
      <c r="L51" s="16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 t="s">
        <v>2</v>
      </c>
      <c r="C52" s="1"/>
      <c r="D52" s="1"/>
      <c r="E52" s="1"/>
      <c r="F52" s="14"/>
      <c r="G52" s="14"/>
      <c r="H52" s="15"/>
      <c r="I52" s="16"/>
      <c r="J52" s="16"/>
      <c r="K52" s="16"/>
      <c r="L52" s="16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9" t="s">
        <v>21</v>
      </c>
      <c r="C54" s="9"/>
      <c r="D54" s="9"/>
      <c r="E54" s="9"/>
      <c r="F54" s="10"/>
      <c r="G54" s="10"/>
      <c r="H54" s="11"/>
      <c r="I54" s="10"/>
      <c r="J54" s="10"/>
      <c r="K54" s="10"/>
      <c r="L54" s="10"/>
      <c r="M54" s="1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5" t="s">
        <v>45</v>
      </c>
      <c r="C55" s="5"/>
      <c r="D55" s="5"/>
      <c r="E55" s="5"/>
      <c r="F55" s="12"/>
      <c r="G55" s="12"/>
      <c r="H55" s="13"/>
      <c r="I55" s="12"/>
      <c r="J55" s="12"/>
      <c r="K55" s="12"/>
      <c r="L55" s="12"/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 t="s">
        <v>0</v>
      </c>
      <c r="C56" s="1"/>
      <c r="D56" s="1"/>
      <c r="E56" s="1"/>
      <c r="F56" s="14"/>
      <c r="G56" s="14"/>
      <c r="H56" s="15"/>
      <c r="I56" s="16"/>
      <c r="J56" s="16"/>
      <c r="K56" s="16"/>
      <c r="L56" s="16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 t="s">
        <v>47</v>
      </c>
      <c r="C57" s="1"/>
      <c r="D57" s="1"/>
      <c r="E57" s="1"/>
      <c r="F57" s="14"/>
      <c r="G57" s="14"/>
      <c r="H57" s="15"/>
      <c r="I57" s="16"/>
      <c r="J57" s="16"/>
      <c r="K57" s="16"/>
      <c r="L57" s="16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 t="s">
        <v>2</v>
      </c>
      <c r="C58" s="1"/>
      <c r="D58" s="1"/>
      <c r="E58" s="1"/>
      <c r="F58" s="14"/>
      <c r="G58" s="14"/>
      <c r="H58" s="15"/>
      <c r="I58" s="16"/>
      <c r="J58" s="16"/>
      <c r="K58" s="16"/>
      <c r="L58" s="16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9" t="s">
        <v>52</v>
      </c>
      <c r="C60" s="9"/>
      <c r="D60" s="9"/>
      <c r="E60" s="9"/>
      <c r="F60" s="10"/>
      <c r="G60" s="10"/>
      <c r="H60" s="11"/>
      <c r="I60" s="10"/>
      <c r="J60" s="10"/>
      <c r="K60" s="10"/>
      <c r="L60" s="10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5" t="s">
        <v>45</v>
      </c>
      <c r="C61" s="5"/>
      <c r="D61" s="5"/>
      <c r="E61" s="5"/>
      <c r="F61" s="12"/>
      <c r="G61" s="12"/>
      <c r="H61" s="13"/>
      <c r="I61" s="12"/>
      <c r="J61" s="12"/>
      <c r="K61" s="12"/>
      <c r="L61" s="12"/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 t="s">
        <v>0</v>
      </c>
      <c r="C62" s="1"/>
      <c r="D62" s="1"/>
      <c r="E62" s="1"/>
      <c r="F62" s="14"/>
      <c r="G62" s="14"/>
      <c r="H62" s="15"/>
      <c r="I62" s="16"/>
      <c r="J62" s="16"/>
      <c r="K62" s="16"/>
      <c r="L62" s="16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 t="s">
        <v>47</v>
      </c>
      <c r="C63" s="1"/>
      <c r="D63" s="1"/>
      <c r="E63" s="1"/>
      <c r="F63" s="14"/>
      <c r="G63" s="14"/>
      <c r="H63" s="15"/>
      <c r="I63" s="16"/>
      <c r="J63" s="16"/>
      <c r="K63" s="16"/>
      <c r="L63" s="16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 t="s">
        <v>2</v>
      </c>
      <c r="C64" s="1"/>
      <c r="D64" s="1"/>
      <c r="E64" s="1"/>
      <c r="F64" s="14"/>
      <c r="G64" s="14"/>
      <c r="H64" s="15"/>
      <c r="I64" s="16"/>
      <c r="J64" s="16"/>
      <c r="K64" s="16"/>
      <c r="L64" s="16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9" t="s">
        <v>23</v>
      </c>
      <c r="C66" s="9"/>
      <c r="D66" s="9"/>
      <c r="E66" s="9"/>
      <c r="F66" s="10"/>
      <c r="G66" s="10"/>
      <c r="H66" s="11"/>
      <c r="I66" s="10"/>
      <c r="J66" s="10"/>
      <c r="K66" s="10"/>
      <c r="L66" s="10"/>
      <c r="M66" s="1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5" t="s">
        <v>45</v>
      </c>
      <c r="C67" s="5"/>
      <c r="D67" s="5"/>
      <c r="E67" s="5"/>
      <c r="F67" s="12"/>
      <c r="G67" s="12"/>
      <c r="H67" s="13"/>
      <c r="I67" s="12"/>
      <c r="J67" s="12"/>
      <c r="K67" s="12"/>
      <c r="L67" s="12"/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 t="s">
        <v>0</v>
      </c>
      <c r="C68" s="1"/>
      <c r="D68" s="1"/>
      <c r="E68" s="1"/>
      <c r="F68" s="14"/>
      <c r="G68" s="14"/>
      <c r="H68" s="15"/>
      <c r="I68" s="16"/>
      <c r="J68" s="16"/>
      <c r="K68" s="16"/>
      <c r="L68" s="16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 t="s">
        <v>47</v>
      </c>
      <c r="C69" s="1"/>
      <c r="D69" s="1"/>
      <c r="E69" s="1"/>
      <c r="F69" s="14"/>
      <c r="G69" s="14"/>
      <c r="H69" s="15"/>
      <c r="I69" s="16"/>
      <c r="J69" s="16"/>
      <c r="K69" s="16"/>
      <c r="L69" s="16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 t="s">
        <v>2</v>
      </c>
      <c r="C70" s="1"/>
      <c r="D70" s="1"/>
      <c r="E70" s="1"/>
      <c r="F70" s="14"/>
      <c r="G70" s="14"/>
      <c r="H70" s="15"/>
      <c r="I70" s="16"/>
      <c r="J70" s="16"/>
      <c r="K70" s="16"/>
      <c r="L70" s="16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9" t="s">
        <v>53</v>
      </c>
      <c r="C72" s="9"/>
      <c r="D72" s="9"/>
      <c r="E72" s="9"/>
      <c r="F72" s="10"/>
      <c r="G72" s="10"/>
      <c r="H72" s="11"/>
      <c r="I72" s="10"/>
      <c r="J72" s="10"/>
      <c r="K72" s="10"/>
      <c r="L72" s="10"/>
      <c r="M72" s="1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5" t="s">
        <v>54</v>
      </c>
      <c r="C73" s="5"/>
      <c r="D73" s="5"/>
      <c r="E73" s="5"/>
      <c r="F73" s="12"/>
      <c r="G73" s="12"/>
      <c r="H73" s="13"/>
      <c r="I73" s="12"/>
      <c r="J73" s="12"/>
      <c r="K73" s="12"/>
      <c r="L73" s="12"/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 t="s">
        <v>0</v>
      </c>
      <c r="C74" s="1"/>
      <c r="D74" s="1"/>
      <c r="E74" s="1"/>
      <c r="F74" s="14"/>
      <c r="G74" s="14"/>
      <c r="H74" s="15"/>
      <c r="I74" s="16"/>
      <c r="J74" s="16"/>
      <c r="K74" s="16"/>
      <c r="L74" s="16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 t="s">
        <v>47</v>
      </c>
      <c r="C75" s="1"/>
      <c r="D75" s="1"/>
      <c r="E75" s="1"/>
      <c r="F75" s="14"/>
      <c r="G75" s="14"/>
      <c r="H75" s="15"/>
      <c r="I75" s="16"/>
      <c r="J75" s="16"/>
      <c r="K75" s="16"/>
      <c r="L75" s="16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 t="s">
        <v>2</v>
      </c>
      <c r="C76" s="1"/>
      <c r="D76" s="1"/>
      <c r="E76" s="1"/>
      <c r="F76" s="14"/>
      <c r="G76" s="14"/>
      <c r="H76" s="15"/>
      <c r="I76" s="16"/>
      <c r="J76" s="16"/>
      <c r="K76" s="16"/>
      <c r="L76" s="16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9" t="s">
        <v>55</v>
      </c>
      <c r="C78" s="9"/>
      <c r="D78" s="9"/>
      <c r="E78" s="9"/>
      <c r="F78" s="10"/>
      <c r="G78" s="10"/>
      <c r="H78" s="11"/>
      <c r="I78" s="10"/>
      <c r="J78" s="10"/>
      <c r="K78" s="10"/>
      <c r="L78" s="10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5" t="s">
        <v>45</v>
      </c>
      <c r="C79" s="5"/>
      <c r="D79" s="5"/>
      <c r="E79" s="5"/>
      <c r="F79" s="12"/>
      <c r="G79" s="12"/>
      <c r="H79" s="13"/>
      <c r="I79" s="12"/>
      <c r="J79" s="12"/>
      <c r="K79" s="12"/>
      <c r="L79" s="12"/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 t="s">
        <v>0</v>
      </c>
      <c r="C80" s="1"/>
      <c r="D80" s="1"/>
      <c r="E80" s="1"/>
      <c r="F80" s="14"/>
      <c r="G80" s="14"/>
      <c r="H80" s="15"/>
      <c r="I80" s="16"/>
      <c r="J80" s="16"/>
      <c r="K80" s="16"/>
      <c r="L80" s="16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 t="s">
        <v>47</v>
      </c>
      <c r="C81" s="1"/>
      <c r="D81" s="1"/>
      <c r="E81" s="1"/>
      <c r="F81" s="14"/>
      <c r="G81" s="14"/>
      <c r="H81" s="15"/>
      <c r="I81" s="16"/>
      <c r="J81" s="16"/>
      <c r="K81" s="16"/>
      <c r="L81" s="16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 t="s">
        <v>2</v>
      </c>
      <c r="C82" s="1"/>
      <c r="D82" s="1"/>
      <c r="E82" s="1"/>
      <c r="F82" s="14"/>
      <c r="G82" s="14"/>
      <c r="H82" s="15"/>
      <c r="I82" s="16"/>
      <c r="J82" s="16"/>
      <c r="K82" s="16"/>
      <c r="L82" s="16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9" t="s">
        <v>56</v>
      </c>
      <c r="C84" s="9"/>
      <c r="D84" s="9"/>
      <c r="E84" s="9"/>
      <c r="F84" s="10"/>
      <c r="G84" s="10"/>
      <c r="H84" s="11"/>
      <c r="I84" s="10"/>
      <c r="J84" s="10"/>
      <c r="K84" s="10"/>
      <c r="L84" s="10"/>
      <c r="M84" s="1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5" t="s">
        <v>45</v>
      </c>
      <c r="C85" s="5"/>
      <c r="D85" s="5"/>
      <c r="E85" s="5"/>
      <c r="F85" s="12"/>
      <c r="G85" s="12"/>
      <c r="H85" s="13"/>
      <c r="I85" s="12"/>
      <c r="J85" s="12"/>
      <c r="K85" s="12"/>
      <c r="L85" s="12"/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 t="s">
        <v>0</v>
      </c>
      <c r="C86" s="1"/>
      <c r="D86" s="1"/>
      <c r="E86" s="1"/>
      <c r="F86" s="14"/>
      <c r="G86" s="14"/>
      <c r="H86" s="15"/>
      <c r="I86" s="16"/>
      <c r="J86" s="16"/>
      <c r="K86" s="16"/>
      <c r="L86" s="16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 t="s">
        <v>47</v>
      </c>
      <c r="C87" s="1"/>
      <c r="D87" s="1"/>
      <c r="E87" s="1"/>
      <c r="F87" s="14"/>
      <c r="G87" s="14"/>
      <c r="H87" s="15"/>
      <c r="I87" s="16"/>
      <c r="J87" s="16"/>
      <c r="K87" s="16"/>
      <c r="L87" s="16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 t="s">
        <v>2</v>
      </c>
      <c r="C88" s="1"/>
      <c r="D88" s="1"/>
      <c r="E88" s="1"/>
      <c r="F88" s="14"/>
      <c r="G88" s="14"/>
      <c r="H88" s="15"/>
      <c r="I88" s="16"/>
      <c r="J88" s="16"/>
      <c r="K88" s="16"/>
      <c r="L88" s="16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9" t="s">
        <v>57</v>
      </c>
      <c r="C90" s="9"/>
      <c r="D90" s="9"/>
      <c r="E90" s="9"/>
      <c r="F90" s="10"/>
      <c r="G90" s="10"/>
      <c r="H90" s="11"/>
      <c r="I90" s="10"/>
      <c r="J90" s="10"/>
      <c r="K90" s="10"/>
      <c r="L90" s="10"/>
      <c r="M90" s="1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5" t="s">
        <v>45</v>
      </c>
      <c r="C91" s="5"/>
      <c r="D91" s="5"/>
      <c r="E91" s="5"/>
      <c r="F91" s="12"/>
      <c r="G91" s="12"/>
      <c r="H91" s="13"/>
      <c r="I91" s="12"/>
      <c r="J91" s="12"/>
      <c r="K91" s="12"/>
      <c r="L91" s="12"/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 t="s">
        <v>0</v>
      </c>
      <c r="C92" s="1"/>
      <c r="D92" s="1"/>
      <c r="E92" s="1"/>
      <c r="F92" s="14"/>
      <c r="G92" s="14"/>
      <c r="H92" s="15"/>
      <c r="I92" s="16"/>
      <c r="J92" s="16"/>
      <c r="K92" s="16"/>
      <c r="L92" s="16"/>
      <c r="M92" s="1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 t="s">
        <v>47</v>
      </c>
      <c r="C93" s="1"/>
      <c r="D93" s="1"/>
      <c r="E93" s="1"/>
      <c r="F93" s="14"/>
      <c r="G93" s="14"/>
      <c r="H93" s="15"/>
      <c r="I93" s="16"/>
      <c r="J93" s="16"/>
      <c r="K93" s="16"/>
      <c r="L93" s="16"/>
      <c r="M93" s="1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 t="s">
        <v>2</v>
      </c>
      <c r="C94" s="1"/>
      <c r="D94" s="1"/>
      <c r="E94" s="1"/>
      <c r="F94" s="14"/>
      <c r="G94" s="14"/>
      <c r="H94" s="15"/>
      <c r="I94" s="16"/>
      <c r="J94" s="16"/>
      <c r="K94" s="16"/>
      <c r="L94" s="16"/>
      <c r="M94" s="1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9" t="s">
        <v>58</v>
      </c>
      <c r="C96" s="9"/>
      <c r="D96" s="9"/>
      <c r="E96" s="9"/>
      <c r="F96" s="10"/>
      <c r="G96" s="10"/>
      <c r="H96" s="11"/>
      <c r="I96" s="10"/>
      <c r="J96" s="10"/>
      <c r="K96" s="10"/>
      <c r="L96" s="10"/>
      <c r="M96" s="1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5" t="s">
        <v>45</v>
      </c>
      <c r="C97" s="5"/>
      <c r="D97" s="5"/>
      <c r="E97" s="5"/>
      <c r="F97" s="12"/>
      <c r="G97" s="12"/>
      <c r="H97" s="13"/>
      <c r="I97" s="12"/>
      <c r="J97" s="12"/>
      <c r="K97" s="12"/>
      <c r="L97" s="12"/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 t="s">
        <v>0</v>
      </c>
      <c r="C98" s="1"/>
      <c r="D98" s="1"/>
      <c r="E98" s="1"/>
      <c r="F98" s="14"/>
      <c r="G98" s="14"/>
      <c r="H98" s="15"/>
      <c r="I98" s="16"/>
      <c r="J98" s="16"/>
      <c r="K98" s="16"/>
      <c r="L98" s="16"/>
      <c r="M98" s="1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 t="s">
        <v>47</v>
      </c>
      <c r="C99" s="1"/>
      <c r="D99" s="1"/>
      <c r="E99" s="1"/>
      <c r="F99" s="14"/>
      <c r="G99" s="14"/>
      <c r="H99" s="15"/>
      <c r="I99" s="16"/>
      <c r="J99" s="16"/>
      <c r="K99" s="16"/>
      <c r="L99" s="16"/>
      <c r="M99" s="1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 t="s">
        <v>2</v>
      </c>
      <c r="C100" s="1"/>
      <c r="D100" s="1"/>
      <c r="E100" s="1"/>
      <c r="F100" s="14"/>
      <c r="G100" s="14"/>
      <c r="H100" s="15"/>
      <c r="I100" s="16"/>
      <c r="J100" s="16"/>
      <c r="K100" s="16"/>
      <c r="L100" s="16"/>
      <c r="M100" s="1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9" t="s">
        <v>59</v>
      </c>
      <c r="C102" s="9"/>
      <c r="D102" s="9"/>
      <c r="E102" s="9"/>
      <c r="F102" s="10"/>
      <c r="G102" s="10"/>
      <c r="H102" s="11"/>
      <c r="I102" s="10"/>
      <c r="J102" s="10"/>
      <c r="K102" s="10"/>
      <c r="L102" s="10"/>
      <c r="M102" s="1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5" t="s">
        <v>45</v>
      </c>
      <c r="C103" s="5"/>
      <c r="D103" s="5"/>
      <c r="E103" s="5"/>
      <c r="F103" s="12"/>
      <c r="G103" s="12"/>
      <c r="H103" s="13"/>
      <c r="I103" s="12"/>
      <c r="J103" s="12"/>
      <c r="K103" s="12"/>
      <c r="L103" s="12"/>
      <c r="M103" s="1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 t="s">
        <v>0</v>
      </c>
      <c r="C104" s="1"/>
      <c r="D104" s="1"/>
      <c r="E104" s="1"/>
      <c r="F104" s="14"/>
      <c r="G104" s="14"/>
      <c r="H104" s="15"/>
      <c r="I104" s="16"/>
      <c r="J104" s="16"/>
      <c r="K104" s="16"/>
      <c r="L104" s="16"/>
      <c r="M104" s="1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 t="s">
        <v>47</v>
      </c>
      <c r="C105" s="1"/>
      <c r="D105" s="1"/>
      <c r="E105" s="1"/>
      <c r="F105" s="14"/>
      <c r="G105" s="14"/>
      <c r="H105" s="15"/>
      <c r="I105" s="16"/>
      <c r="J105" s="16"/>
      <c r="K105" s="16"/>
      <c r="L105" s="16"/>
      <c r="M105" s="1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 t="s">
        <v>2</v>
      </c>
      <c r="C106" s="1"/>
      <c r="D106" s="1"/>
      <c r="E106" s="1"/>
      <c r="F106" s="14"/>
      <c r="G106" s="14"/>
      <c r="H106" s="15"/>
      <c r="I106" s="16"/>
      <c r="J106" s="16"/>
      <c r="K106" s="16"/>
      <c r="L106" s="16"/>
      <c r="M106" s="1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9" t="s">
        <v>60</v>
      </c>
      <c r="C108" s="9"/>
      <c r="D108" s="9"/>
      <c r="E108" s="9"/>
      <c r="F108" s="10"/>
      <c r="G108" s="10"/>
      <c r="H108" s="11"/>
      <c r="I108" s="10"/>
      <c r="J108" s="10"/>
      <c r="K108" s="10"/>
      <c r="L108" s="10"/>
      <c r="M108" s="1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5" t="s">
        <v>45</v>
      </c>
      <c r="C109" s="5"/>
      <c r="D109" s="5"/>
      <c r="E109" s="5"/>
      <c r="F109" s="12"/>
      <c r="G109" s="12"/>
      <c r="H109" s="13"/>
      <c r="I109" s="12"/>
      <c r="J109" s="12"/>
      <c r="K109" s="12"/>
      <c r="L109" s="12"/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 t="s">
        <v>0</v>
      </c>
      <c r="C110" s="1"/>
      <c r="D110" s="1"/>
      <c r="E110" s="1"/>
      <c r="F110" s="14"/>
      <c r="G110" s="14"/>
      <c r="H110" s="15"/>
      <c r="I110" s="16"/>
      <c r="J110" s="16"/>
      <c r="K110" s="16"/>
      <c r="L110" s="16"/>
      <c r="M110" s="1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 t="s">
        <v>47</v>
      </c>
      <c r="C111" s="1"/>
      <c r="D111" s="1"/>
      <c r="E111" s="1"/>
      <c r="F111" s="14"/>
      <c r="G111" s="14"/>
      <c r="H111" s="15"/>
      <c r="I111" s="16"/>
      <c r="J111" s="16"/>
      <c r="K111" s="16"/>
      <c r="L111" s="16"/>
      <c r="M111" s="1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 t="s">
        <v>2</v>
      </c>
      <c r="C112" s="1"/>
      <c r="D112" s="1"/>
      <c r="E112" s="1"/>
      <c r="F112" s="14"/>
      <c r="G112" s="14"/>
      <c r="H112" s="15"/>
      <c r="I112" s="16"/>
      <c r="J112" s="16"/>
      <c r="K112" s="16"/>
      <c r="L112" s="16"/>
      <c r="M112" s="1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9" t="s">
        <v>61</v>
      </c>
      <c r="C114" s="9"/>
      <c r="D114" s="9"/>
      <c r="E114" s="9"/>
      <c r="F114" s="10"/>
      <c r="G114" s="10"/>
      <c r="H114" s="11"/>
      <c r="I114" s="10"/>
      <c r="J114" s="10"/>
      <c r="K114" s="10"/>
      <c r="L114" s="10"/>
      <c r="M114" s="1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5" t="s">
        <v>45</v>
      </c>
      <c r="C115" s="5"/>
      <c r="D115" s="5"/>
      <c r="E115" s="5"/>
      <c r="F115" s="12"/>
      <c r="G115" s="12"/>
      <c r="H115" s="13"/>
      <c r="I115" s="12"/>
      <c r="J115" s="12"/>
      <c r="K115" s="12"/>
      <c r="L115" s="12"/>
      <c r="M115" s="1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 t="s">
        <v>0</v>
      </c>
      <c r="C116" s="1"/>
      <c r="D116" s="1"/>
      <c r="E116" s="1"/>
      <c r="F116" s="14"/>
      <c r="G116" s="14"/>
      <c r="H116" s="15"/>
      <c r="I116" s="16"/>
      <c r="J116" s="16"/>
      <c r="K116" s="16"/>
      <c r="L116" s="16"/>
      <c r="M116" s="1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 t="s">
        <v>47</v>
      </c>
      <c r="C117" s="1"/>
      <c r="D117" s="1"/>
      <c r="E117" s="1"/>
      <c r="F117" s="14"/>
      <c r="G117" s="14"/>
      <c r="H117" s="15"/>
      <c r="I117" s="16"/>
      <c r="J117" s="16"/>
      <c r="K117" s="16"/>
      <c r="L117" s="16"/>
      <c r="M117" s="1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 t="s">
        <v>2</v>
      </c>
      <c r="C118" s="1"/>
      <c r="D118" s="1"/>
      <c r="E118" s="1"/>
      <c r="F118" s="14"/>
      <c r="G118" s="14"/>
      <c r="H118" s="15"/>
      <c r="I118" s="16"/>
      <c r="J118" s="16"/>
      <c r="K118" s="16"/>
      <c r="L118" s="16"/>
      <c r="M118" s="1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9" t="s">
        <v>62</v>
      </c>
      <c r="C120" s="9"/>
      <c r="D120" s="9"/>
      <c r="E120" s="9"/>
      <c r="F120" s="10"/>
      <c r="G120" s="10"/>
      <c r="H120" s="11"/>
      <c r="I120" s="10"/>
      <c r="J120" s="10"/>
      <c r="K120" s="10"/>
      <c r="L120" s="10"/>
      <c r="M120" s="1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5" t="s">
        <v>45</v>
      </c>
      <c r="C121" s="5"/>
      <c r="D121" s="5"/>
      <c r="E121" s="5"/>
      <c r="F121" s="12"/>
      <c r="G121" s="12"/>
      <c r="H121" s="13"/>
      <c r="I121" s="12"/>
      <c r="J121" s="12"/>
      <c r="K121" s="12"/>
      <c r="L121" s="12"/>
      <c r="M121" s="1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 t="s">
        <v>0</v>
      </c>
      <c r="C122" s="1"/>
      <c r="D122" s="1"/>
      <c r="E122" s="1"/>
      <c r="F122" s="14"/>
      <c r="G122" s="14"/>
      <c r="H122" s="15"/>
      <c r="I122" s="16"/>
      <c r="J122" s="16"/>
      <c r="K122" s="16"/>
      <c r="L122" s="16"/>
      <c r="M122" s="1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 t="s">
        <v>47</v>
      </c>
      <c r="C123" s="1"/>
      <c r="D123" s="1"/>
      <c r="E123" s="1"/>
      <c r="F123" s="14"/>
      <c r="G123" s="14"/>
      <c r="H123" s="15"/>
      <c r="I123" s="16"/>
      <c r="J123" s="16"/>
      <c r="K123" s="16"/>
      <c r="L123" s="16"/>
      <c r="M123" s="1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 t="s">
        <v>2</v>
      </c>
      <c r="C124" s="1"/>
      <c r="D124" s="1"/>
      <c r="E124" s="1"/>
      <c r="F124" s="14"/>
      <c r="G124" s="14"/>
      <c r="H124" s="15"/>
      <c r="I124" s="16"/>
      <c r="J124" s="16"/>
      <c r="K124" s="16"/>
      <c r="L124" s="16"/>
      <c r="M124" s="1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9" t="s">
        <v>63</v>
      </c>
      <c r="C126" s="9"/>
      <c r="D126" s="9"/>
      <c r="E126" s="9"/>
      <c r="F126" s="10"/>
      <c r="G126" s="10"/>
      <c r="H126" s="11"/>
      <c r="I126" s="10"/>
      <c r="J126" s="10"/>
      <c r="K126" s="10"/>
      <c r="L126" s="10"/>
      <c r="M126" s="1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5" t="s">
        <v>45</v>
      </c>
      <c r="C127" s="5"/>
      <c r="D127" s="5"/>
      <c r="E127" s="5"/>
      <c r="F127" s="12"/>
      <c r="G127" s="12"/>
      <c r="H127" s="13"/>
      <c r="I127" s="12"/>
      <c r="J127" s="12"/>
      <c r="K127" s="12"/>
      <c r="L127" s="12"/>
      <c r="M127" s="1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 t="s">
        <v>0</v>
      </c>
      <c r="C128" s="1"/>
      <c r="D128" s="1"/>
      <c r="E128" s="1"/>
      <c r="F128" s="14"/>
      <c r="G128" s="14"/>
      <c r="H128" s="15"/>
      <c r="I128" s="16"/>
      <c r="J128" s="16"/>
      <c r="K128" s="16"/>
      <c r="L128" s="16"/>
      <c r="M128" s="1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 t="s">
        <v>47</v>
      </c>
      <c r="C129" s="1"/>
      <c r="D129" s="1"/>
      <c r="E129" s="1"/>
      <c r="F129" s="14"/>
      <c r="G129" s="14"/>
      <c r="H129" s="15"/>
      <c r="I129" s="16"/>
      <c r="J129" s="16"/>
      <c r="K129" s="16"/>
      <c r="L129" s="16"/>
      <c r="M129" s="1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 t="s">
        <v>2</v>
      </c>
      <c r="C130" s="1"/>
      <c r="D130" s="1"/>
      <c r="E130" s="1"/>
      <c r="F130" s="14"/>
      <c r="G130" s="14"/>
      <c r="H130" s="15"/>
      <c r="I130" s="16"/>
      <c r="J130" s="16"/>
      <c r="K130" s="16"/>
      <c r="L130" s="16"/>
      <c r="M130" s="1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33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7F2EC"/>
  </sheetPr>
  <dimension ref="A1:Z1000"/>
  <sheetViews>
    <sheetView showGridLines="0" workbookViewId="0">
      <selection activeCell="E40" sqref="E40"/>
    </sheetView>
  </sheetViews>
  <sheetFormatPr defaultColWidth="14.44140625" defaultRowHeight="15" customHeight="1"/>
  <cols>
    <col min="1" max="1" width="2.77734375" customWidth="1"/>
    <col min="2" max="13" width="15.77734375" customWidth="1"/>
    <col min="14" max="26" width="12.777343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3" t="s">
        <v>64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5"/>
      <c r="B3" s="5" t="s">
        <v>40</v>
      </c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7" t="s">
        <v>41</v>
      </c>
      <c r="C5" s="28"/>
      <c r="D5" s="28"/>
      <c r="E5" s="28"/>
      <c r="F5" s="29">
        <v>2021</v>
      </c>
      <c r="G5" s="29">
        <f t="shared" ref="G5:M5" si="0">F5+1</f>
        <v>2022</v>
      </c>
      <c r="H5" s="30">
        <f t="shared" si="0"/>
        <v>2023</v>
      </c>
      <c r="I5" s="31">
        <f t="shared" si="0"/>
        <v>2024</v>
      </c>
      <c r="J5" s="31">
        <f t="shared" si="0"/>
        <v>2025</v>
      </c>
      <c r="K5" s="31">
        <f t="shared" si="0"/>
        <v>2026</v>
      </c>
      <c r="L5" s="31">
        <f t="shared" si="0"/>
        <v>2027</v>
      </c>
      <c r="M5" s="32">
        <f t="shared" si="0"/>
        <v>2028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/>
      <c r="B7" s="26" t="s">
        <v>65</v>
      </c>
      <c r="C7" s="26"/>
      <c r="D7" s="26"/>
      <c r="E7" s="26"/>
      <c r="F7" s="26"/>
      <c r="G7" s="26"/>
      <c r="H7" s="8"/>
      <c r="I7" s="26"/>
      <c r="J7" s="26"/>
      <c r="K7" s="26"/>
      <c r="L7" s="26"/>
      <c r="M7" s="2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 t="s">
        <v>56</v>
      </c>
      <c r="C9" s="1"/>
      <c r="D9" s="1"/>
      <c r="E9" s="1"/>
      <c r="F9" s="17"/>
      <c r="G9" s="17"/>
      <c r="H9" s="18"/>
      <c r="I9" s="17"/>
      <c r="J9" s="17"/>
      <c r="K9" s="17"/>
      <c r="L9" s="17"/>
      <c r="M9" s="1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 t="s">
        <v>57</v>
      </c>
      <c r="C10" s="1"/>
      <c r="D10" s="1"/>
      <c r="E10" s="1"/>
      <c r="F10" s="17"/>
      <c r="G10" s="17"/>
      <c r="H10" s="18"/>
      <c r="I10" s="17"/>
      <c r="J10" s="17"/>
      <c r="K10" s="17"/>
      <c r="L10" s="17"/>
      <c r="M10" s="1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 t="s">
        <v>58</v>
      </c>
      <c r="C11" s="1"/>
      <c r="D11" s="1"/>
      <c r="E11" s="1"/>
      <c r="F11" s="17"/>
      <c r="G11" s="17"/>
      <c r="H11" s="18"/>
      <c r="I11" s="17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 t="s">
        <v>59</v>
      </c>
      <c r="C12" s="1"/>
      <c r="D12" s="1"/>
      <c r="E12" s="1"/>
      <c r="F12" s="17"/>
      <c r="G12" s="17"/>
      <c r="H12" s="18"/>
      <c r="I12" s="17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9"/>
      <c r="B13" s="33" t="s">
        <v>66</v>
      </c>
      <c r="C13" s="33"/>
      <c r="D13" s="33"/>
      <c r="E13" s="33"/>
      <c r="F13" s="34"/>
      <c r="G13" s="34"/>
      <c r="H13" s="35"/>
      <c r="I13" s="34"/>
      <c r="J13" s="34"/>
      <c r="K13" s="34"/>
      <c r="L13" s="34"/>
      <c r="M13" s="34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1"/>
      <c r="B14" s="1"/>
      <c r="C14" s="1"/>
      <c r="D14" s="1"/>
      <c r="E14" s="1"/>
      <c r="F14" s="17"/>
      <c r="G14" s="17"/>
      <c r="H14" s="18"/>
      <c r="I14" s="17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 t="s">
        <v>60</v>
      </c>
      <c r="C15" s="1"/>
      <c r="D15" s="1"/>
      <c r="E15" s="1"/>
      <c r="F15" s="17"/>
      <c r="G15" s="17"/>
      <c r="H15" s="18"/>
      <c r="I15" s="17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 t="s">
        <v>61</v>
      </c>
      <c r="C16" s="1"/>
      <c r="D16" s="1"/>
      <c r="E16" s="1"/>
      <c r="F16" s="17"/>
      <c r="G16" s="17"/>
      <c r="H16" s="18"/>
      <c r="I16" s="17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 t="s">
        <v>62</v>
      </c>
      <c r="C17" s="1"/>
      <c r="D17" s="1"/>
      <c r="E17" s="1"/>
      <c r="F17" s="17"/>
      <c r="G17" s="17"/>
      <c r="H17" s="18"/>
      <c r="I17" s="17"/>
      <c r="J17" s="17"/>
      <c r="K17" s="17"/>
      <c r="L17" s="17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 t="s">
        <v>63</v>
      </c>
      <c r="C18" s="1"/>
      <c r="D18" s="1"/>
      <c r="E18" s="1"/>
      <c r="F18" s="17"/>
      <c r="G18" s="17"/>
      <c r="H18" s="18"/>
      <c r="I18" s="17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9"/>
      <c r="B19" s="33" t="s">
        <v>67</v>
      </c>
      <c r="C19" s="33"/>
      <c r="D19" s="33"/>
      <c r="E19" s="33"/>
      <c r="F19" s="34"/>
      <c r="G19" s="34"/>
      <c r="H19" s="35"/>
      <c r="I19" s="34"/>
      <c r="J19" s="34"/>
      <c r="K19" s="34"/>
      <c r="L19" s="34"/>
      <c r="M19" s="34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1"/>
      <c r="B20" s="1"/>
      <c r="C20" s="1"/>
      <c r="D20" s="1"/>
      <c r="E20" s="1"/>
      <c r="F20" s="17"/>
      <c r="G20" s="17"/>
      <c r="H20" s="18"/>
      <c r="I20" s="17"/>
      <c r="J20" s="17"/>
      <c r="K20" s="17"/>
      <c r="L20" s="17"/>
      <c r="M20" s="1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6" t="s">
        <v>65</v>
      </c>
      <c r="C21" s="36"/>
      <c r="D21" s="36"/>
      <c r="E21" s="36"/>
      <c r="F21" s="37"/>
      <c r="G21" s="37"/>
      <c r="H21" s="38"/>
      <c r="I21" s="37"/>
      <c r="J21" s="37"/>
      <c r="K21" s="37"/>
      <c r="L21" s="37"/>
      <c r="M21" s="3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9" t="s">
        <v>68</v>
      </c>
      <c r="C22" s="39"/>
      <c r="D22" s="39"/>
      <c r="E22" s="39"/>
      <c r="F22" s="40"/>
      <c r="G22" s="40"/>
      <c r="H22" s="41"/>
      <c r="I22" s="40"/>
      <c r="J22" s="40"/>
      <c r="K22" s="40"/>
      <c r="L22" s="40"/>
      <c r="M22" s="4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D9CC-7BE7-4546-B18B-9FA255E4E9FA}">
  <sheetPr>
    <tabColor rgb="FFF7F2EC"/>
  </sheetPr>
  <dimension ref="B3:S143"/>
  <sheetViews>
    <sheetView showGridLines="0" tabSelected="1" zoomScale="68" zoomScaleNormal="80" workbookViewId="0">
      <pane xSplit="3" ySplit="7" topLeftCell="D9" activePane="bottomRight" state="frozen"/>
      <selection pane="topRight" activeCell="D1" sqref="D1"/>
      <selection pane="bottomLeft" activeCell="A8" sqref="A8"/>
      <selection pane="bottomRight" activeCell="E13" sqref="E13:K13"/>
    </sheetView>
  </sheetViews>
  <sheetFormatPr defaultColWidth="8.77734375" defaultRowHeight="14.4" outlineLevelRow="1"/>
  <cols>
    <col min="1" max="1" width="8.77734375" style="45"/>
    <col min="2" max="2" width="36.44140625" style="45" bestFit="1" customWidth="1"/>
    <col min="3" max="3" width="9.44140625" style="45" customWidth="1"/>
    <col min="4" max="6" width="11.44140625" style="45" bestFit="1" customWidth="1"/>
    <col min="7" max="7" width="11.77734375" style="45" bestFit="1" customWidth="1"/>
    <col min="8" max="8" width="11.44140625" style="45" customWidth="1"/>
    <col min="9" max="11" width="11.77734375" style="45" bestFit="1" customWidth="1"/>
    <col min="12" max="16384" width="8.77734375" style="45"/>
  </cols>
  <sheetData>
    <row r="3" spans="2:12" ht="21">
      <c r="B3" s="42"/>
      <c r="C3" s="43"/>
      <c r="D3" s="43"/>
      <c r="E3" s="43"/>
      <c r="F3" s="43"/>
      <c r="G3" s="43"/>
      <c r="H3" s="43"/>
      <c r="I3" s="43"/>
      <c r="J3" s="43"/>
      <c r="K3" s="44"/>
    </row>
    <row r="4" spans="2:12" ht="21">
      <c r="B4" s="43"/>
      <c r="C4" s="43"/>
      <c r="D4" s="43"/>
      <c r="E4" s="43"/>
      <c r="F4" s="43"/>
      <c r="G4" s="43"/>
      <c r="H4" s="43"/>
      <c r="I4" s="43"/>
      <c r="J4" s="43"/>
      <c r="K4" s="44"/>
    </row>
    <row r="5" spans="2:12" ht="21">
      <c r="B5" s="46" t="s">
        <v>69</v>
      </c>
      <c r="C5" s="46"/>
      <c r="D5" s="46"/>
      <c r="E5" s="46"/>
      <c r="F5" s="46"/>
      <c r="G5" s="46"/>
      <c r="H5" s="46"/>
      <c r="I5" s="46"/>
      <c r="J5" s="46"/>
      <c r="K5" s="47"/>
    </row>
    <row r="6" spans="2:12" ht="15" outlineLevel="1">
      <c r="B6" s="48"/>
      <c r="C6" s="48"/>
      <c r="D6" s="48"/>
      <c r="E6" s="49"/>
      <c r="F6" s="50"/>
      <c r="G6" s="51"/>
      <c r="H6" s="51"/>
      <c r="I6" s="51"/>
      <c r="J6" s="51"/>
      <c r="K6" s="52"/>
    </row>
    <row r="7" spans="2:12" ht="15.6" outlineLevel="1" thickBot="1">
      <c r="B7" s="53" t="s">
        <v>70</v>
      </c>
      <c r="C7" s="53"/>
      <c r="D7" s="54" t="s">
        <v>8</v>
      </c>
      <c r="E7" s="54" t="s">
        <v>9</v>
      </c>
      <c r="F7" s="54" t="s">
        <v>10</v>
      </c>
      <c r="G7" s="54" t="s">
        <v>11</v>
      </c>
      <c r="H7" s="54" t="s">
        <v>213</v>
      </c>
      <c r="I7" s="54" t="s">
        <v>12</v>
      </c>
      <c r="J7" s="54" t="s">
        <v>13</v>
      </c>
      <c r="K7" s="54" t="s">
        <v>14</v>
      </c>
    </row>
    <row r="8" spans="2:12" ht="15" outlineLevel="1">
      <c r="B8" s="55"/>
      <c r="C8" s="55"/>
      <c r="D8" s="56"/>
      <c r="E8" s="57"/>
      <c r="F8" s="57"/>
      <c r="G8" s="57"/>
      <c r="H8" s="57"/>
      <c r="I8" s="57"/>
      <c r="J8" s="58"/>
      <c r="K8" s="58"/>
    </row>
    <row r="9" spans="2:12" ht="15" outlineLevel="1">
      <c r="B9" s="48" t="s">
        <v>71</v>
      </c>
      <c r="C9" s="48"/>
      <c r="D9" s="59">
        <v>365</v>
      </c>
      <c r="E9" s="59">
        <v>365</v>
      </c>
      <c r="F9" s="59">
        <v>365</v>
      </c>
      <c r="G9" s="59">
        <f>365+1</f>
        <v>366</v>
      </c>
      <c r="H9" s="59">
        <v>365</v>
      </c>
      <c r="I9" s="59">
        <v>365</v>
      </c>
      <c r="J9" s="59">
        <v>365</v>
      </c>
      <c r="K9" s="59">
        <f>365+1</f>
        <v>366</v>
      </c>
    </row>
    <row r="10" spans="2:12" ht="15" outlineLevel="1">
      <c r="B10" s="48"/>
      <c r="C10" s="60"/>
      <c r="D10" s="48"/>
      <c r="E10" s="61"/>
      <c r="F10" s="61"/>
      <c r="G10" s="61"/>
      <c r="H10" s="61"/>
      <c r="I10" s="61"/>
      <c r="J10" s="61"/>
      <c r="K10" s="61"/>
    </row>
    <row r="11" spans="2:12" ht="15" outlineLevel="1">
      <c r="B11" s="48" t="s">
        <v>72</v>
      </c>
      <c r="C11" s="48"/>
      <c r="D11" s="48"/>
      <c r="E11" s="49"/>
    </row>
    <row r="12" spans="2:12" ht="15" outlineLevel="1">
      <c r="B12" s="62" t="s">
        <v>73</v>
      </c>
      <c r="C12" s="63"/>
      <c r="D12" s="64"/>
      <c r="E12" s="295">
        <f>E31/D31-1</f>
        <v>-1.2048192771084487E-2</v>
      </c>
      <c r="F12" s="65">
        <f>F31/E31-1</f>
        <v>2.7195121951219514</v>
      </c>
      <c r="G12" s="66">
        <f>G31/F31-1</f>
        <v>-0.60983606557377046</v>
      </c>
      <c r="H12" s="65">
        <f>H31/G31-1</f>
        <v>5.5546218487394956</v>
      </c>
      <c r="I12" s="67">
        <f>Assumptions!K11</f>
        <v>0.31025641025641032</v>
      </c>
      <c r="J12" s="67">
        <f>Assumptions!L11</f>
        <v>0.20352250489236787</v>
      </c>
      <c r="K12" s="67">
        <f>Assumptions!M11</f>
        <v>5.9999999999999963E-2</v>
      </c>
    </row>
    <row r="13" spans="2:12" ht="15" outlineLevel="1">
      <c r="B13" s="62" t="s">
        <v>74</v>
      </c>
      <c r="C13" s="63"/>
      <c r="D13" s="65">
        <f t="shared" ref="D13:H13" si="0">D33/D31</f>
        <v>0.38554216867469887</v>
      </c>
      <c r="E13" s="65">
        <f t="shared" si="0"/>
        <v>0.32926829268292679</v>
      </c>
      <c r="F13" s="65">
        <f t="shared" si="0"/>
        <v>0.36065573770491804</v>
      </c>
      <c r="G13" s="66">
        <f t="shared" si="0"/>
        <v>0.28571428571428575</v>
      </c>
      <c r="H13" s="65">
        <f t="shared" si="0"/>
        <v>0.30641025641025638</v>
      </c>
      <c r="I13" s="296">
        <f ca="1">(1-Assumptions!K15)</f>
        <v>0.32499999999999996</v>
      </c>
      <c r="J13" s="296">
        <f ca="1">(1-Assumptions!L15)</f>
        <v>0.35</v>
      </c>
      <c r="K13" s="296">
        <f ca="1">(1-Assumptions!M15)</f>
        <v>0.35</v>
      </c>
    </row>
    <row r="14" spans="2:12" ht="15" outlineLevel="1">
      <c r="B14" s="62" t="s">
        <v>75</v>
      </c>
      <c r="C14" s="63"/>
      <c r="D14" s="68">
        <f>D35</f>
        <v>5.8</v>
      </c>
      <c r="E14" s="68">
        <f>E35</f>
        <v>6.5</v>
      </c>
      <c r="F14" s="68">
        <f>F35</f>
        <v>8.3000000000000007</v>
      </c>
      <c r="G14" s="69">
        <f>G35</f>
        <v>11.3</v>
      </c>
      <c r="H14" s="68">
        <f>H35</f>
        <v>14.8</v>
      </c>
      <c r="I14" s="299">
        <f ca="1">Assumptions!K21*Assumptions!K10</f>
        <v>20.440000000000001</v>
      </c>
      <c r="J14" s="299">
        <f ca="1">Assumptions!L21*Assumptions!L10</f>
        <v>21.524999999999999</v>
      </c>
      <c r="K14" s="299">
        <f ca="1">Assumptions!M21*Assumptions!M10</f>
        <v>19.556999999999999</v>
      </c>
    </row>
    <row r="15" spans="2:12" ht="15" outlineLevel="1">
      <c r="B15" s="62" t="s">
        <v>76</v>
      </c>
      <c r="C15" s="62"/>
      <c r="D15" s="65">
        <f>D117/D31*-1</f>
        <v>3.614457831325301E-2</v>
      </c>
      <c r="E15" s="65">
        <f t="shared" ref="E15:H15" si="1">E117/E31*-1</f>
        <v>2.4390243902439029E-2</v>
      </c>
      <c r="F15" s="65">
        <f t="shared" si="1"/>
        <v>6.5573770491803279E-3</v>
      </c>
      <c r="G15" s="65">
        <f t="shared" si="1"/>
        <v>1.680672268907563E-2</v>
      </c>
      <c r="H15" s="65">
        <f t="shared" si="1"/>
        <v>6.41025641025641E-3</v>
      </c>
      <c r="I15" s="296">
        <f ca="1">Assumptions!K65</f>
        <v>1.4999999999999999E-2</v>
      </c>
      <c r="J15" s="296">
        <f ca="1">Assumptions!L65</f>
        <v>1.4999999999999999E-2</v>
      </c>
      <c r="K15" s="296">
        <f ca="1">Assumptions!M65</f>
        <v>1.4999999999999999E-2</v>
      </c>
    </row>
    <row r="16" spans="2:12" ht="15" outlineLevel="1">
      <c r="B16" s="62" t="s">
        <v>77</v>
      </c>
      <c r="C16" s="62"/>
      <c r="D16" s="65">
        <f>D43/D31</f>
        <v>-7.2289156626506021E-2</v>
      </c>
      <c r="E16" s="65">
        <f t="shared" ref="E16:H16" si="2">E43/E31</f>
        <v>-7.3170731707317083E-2</v>
      </c>
      <c r="F16" s="65">
        <f t="shared" si="2"/>
        <v>-2.6229508196721311E-2</v>
      </c>
      <c r="G16" s="65">
        <f t="shared" si="2"/>
        <v>-8.4033613445378144E-2</v>
      </c>
      <c r="H16" s="65">
        <f t="shared" si="2"/>
        <v>-2.4358974358974359E-2</v>
      </c>
      <c r="I16" s="296">
        <f ca="1">-Assumptions!K94</f>
        <v>-1.2500000000000001E-2</v>
      </c>
      <c r="J16" s="296">
        <f ca="1">-Assumptions!L94</f>
        <v>-1.2500000000000001E-2</v>
      </c>
      <c r="K16" s="296">
        <f ca="1">-Assumptions!M94</f>
        <v>-1.2500000000000001E-2</v>
      </c>
      <c r="L16" s="312"/>
    </row>
    <row r="17" spans="2:19" ht="15" outlineLevel="1">
      <c r="B17" s="62" t="s">
        <v>78</v>
      </c>
      <c r="C17" s="62"/>
      <c r="D17" s="65">
        <f>D106/D31</f>
        <v>6.0240963855421679E-2</v>
      </c>
      <c r="E17" s="65">
        <f t="shared" ref="E17:H17" si="3">E106/E31</f>
        <v>6.0975609756097567E-2</v>
      </c>
      <c r="F17" s="65">
        <f t="shared" si="3"/>
        <v>1.6393442622950821E-2</v>
      </c>
      <c r="G17" s="65">
        <f t="shared" si="3"/>
        <v>3.3613445378151259E-2</v>
      </c>
      <c r="H17" s="65">
        <f t="shared" si="3"/>
        <v>6.41025641025641E-3</v>
      </c>
      <c r="I17" s="296">
        <f ca="1">Assumptions!K28</f>
        <v>6.0000000000000001E-3</v>
      </c>
      <c r="J17" s="296">
        <f ca="1">Assumptions!L28</f>
        <v>6.0000000000000001E-3</v>
      </c>
      <c r="K17" s="296">
        <f ca="1">Assumptions!M28</f>
        <v>6.0000000000000001E-3</v>
      </c>
    </row>
    <row r="18" spans="2:19" ht="15" outlineLevel="1">
      <c r="B18" s="62" t="s">
        <v>79</v>
      </c>
      <c r="C18" s="62"/>
      <c r="D18" s="295">
        <f>D52/D47*-1</f>
        <v>-0.13333333333333339</v>
      </c>
      <c r="E18" s="295">
        <f t="shared" ref="E18:H18" si="4">E52/E47*-1</f>
        <v>-0.14925373134328357</v>
      </c>
      <c r="F18" s="295">
        <f t="shared" si="4"/>
        <v>-0.99999999999999845</v>
      </c>
      <c r="G18" s="295">
        <f t="shared" si="4"/>
        <v>-5.1724137931034482E-2</v>
      </c>
      <c r="H18" s="295">
        <f t="shared" si="4"/>
        <v>0.12500000000000003</v>
      </c>
      <c r="I18" s="296">
        <f ca="1">Assumptions!K76</f>
        <v>0.13</v>
      </c>
      <c r="J18" s="296">
        <f ca="1">Assumptions!L76</f>
        <v>0.15</v>
      </c>
      <c r="K18" s="296">
        <f ca="1">Assumptions!M76</f>
        <v>0.16</v>
      </c>
      <c r="M18"/>
    </row>
    <row r="19" spans="2:19" ht="15" outlineLevel="1">
      <c r="B19" s="62"/>
      <c r="C19" s="62"/>
      <c r="D19" s="70"/>
      <c r="E19" s="65"/>
      <c r="F19" s="65"/>
      <c r="G19" s="67"/>
      <c r="H19" s="67"/>
      <c r="I19" s="67"/>
      <c r="J19" s="67"/>
      <c r="K19" s="67"/>
    </row>
    <row r="20" spans="2:19" ht="15" outlineLevel="1">
      <c r="B20" s="48" t="s">
        <v>81</v>
      </c>
      <c r="C20" s="48"/>
      <c r="D20" s="72"/>
      <c r="E20" s="73"/>
      <c r="F20" s="73"/>
      <c r="G20" s="74"/>
      <c r="H20" s="74"/>
      <c r="I20" s="74"/>
      <c r="J20" s="74"/>
      <c r="K20" s="74"/>
    </row>
    <row r="21" spans="2:19" ht="15" outlineLevel="1">
      <c r="B21" s="62" t="s">
        <v>82</v>
      </c>
      <c r="C21" s="75" t="s">
        <v>83</v>
      </c>
      <c r="D21" s="71">
        <f>D31/D73</f>
        <v>4.8823529411764701</v>
      </c>
      <c r="E21" s="71">
        <f t="shared" ref="E21:K21" si="5">E31/E73</f>
        <v>6.3076923076923084</v>
      </c>
      <c r="F21" s="71">
        <f t="shared" si="5"/>
        <v>25.416666666666671</v>
      </c>
      <c r="G21" s="71">
        <f t="shared" si="5"/>
        <v>10.818181818181818</v>
      </c>
      <c r="H21" s="71">
        <f t="shared" si="5"/>
        <v>55.714285714285701</v>
      </c>
      <c r="I21" s="71">
        <f t="shared" si="5"/>
        <v>67.771883289124631</v>
      </c>
      <c r="J21" s="71">
        <f t="shared" si="5"/>
        <v>76.012260839471935</v>
      </c>
      <c r="K21" s="71">
        <f t="shared" si="5"/>
        <v>75.341376527052574</v>
      </c>
    </row>
    <row r="22" spans="2:19" ht="15" outlineLevel="1">
      <c r="B22" s="62" t="s">
        <v>84</v>
      </c>
      <c r="C22" s="75" t="s">
        <v>85</v>
      </c>
      <c r="D22" s="71">
        <f>Assumptions!F46</f>
        <v>101.14457831325299</v>
      </c>
      <c r="E22" s="71">
        <f>Assumptions!G46</f>
        <v>75.670731707317074</v>
      </c>
      <c r="F22" s="71">
        <f>Assumptions!H46</f>
        <v>39.491803278688522</v>
      </c>
      <c r="G22" s="71">
        <f>Assumptions!I46</f>
        <v>64.411764705882362</v>
      </c>
      <c r="H22" s="71">
        <f>Assumptions!J46</f>
        <v>237.71794871794873</v>
      </c>
      <c r="I22" s="71">
        <f ca="1">Assumptions!K46</f>
        <v>200</v>
      </c>
      <c r="J22" s="71">
        <f ca="1">Assumptions!L46</f>
        <v>200</v>
      </c>
      <c r="K22" s="71">
        <f ca="1">Assumptions!M46</f>
        <v>200</v>
      </c>
    </row>
    <row r="23" spans="2:19" ht="15" outlineLevel="1">
      <c r="B23" s="62" t="s">
        <v>86</v>
      </c>
      <c r="C23" s="75" t="s">
        <v>85</v>
      </c>
      <c r="D23" s="71">
        <f>D65/-D32*D9</f>
        <v>171.76470588235293</v>
      </c>
      <c r="E23" s="71">
        <f t="shared" ref="E23:K23" si="6">E65/-E32*E9</f>
        <v>159.27272727272725</v>
      </c>
      <c r="F23" s="71">
        <f t="shared" si="6"/>
        <v>65.512820512820511</v>
      </c>
      <c r="G23" s="71">
        <f t="shared" si="6"/>
        <v>348.77647058823527</v>
      </c>
      <c r="H23" s="71">
        <f t="shared" si="6"/>
        <v>27.661737523105355</v>
      </c>
      <c r="I23" s="71">
        <f t="shared" ca="1" si="6"/>
        <v>26.455026455026452</v>
      </c>
      <c r="J23" s="71">
        <f t="shared" ca="1" si="6"/>
        <v>22.826766729205751</v>
      </c>
      <c r="K23" s="71">
        <f t="shared" ca="1" si="6"/>
        <v>21.59368473220291</v>
      </c>
    </row>
    <row r="24" spans="2:19" ht="15" outlineLevel="1">
      <c r="B24" s="62" t="s">
        <v>87</v>
      </c>
      <c r="C24" s="75" t="s">
        <v>85</v>
      </c>
      <c r="D24" s="71">
        <f>Assumptions!F59</f>
        <v>43.975903614457827</v>
      </c>
      <c r="E24" s="71">
        <f>Assumptions!G59</f>
        <v>66.768292682926841</v>
      </c>
      <c r="F24" s="71">
        <f>Assumptions!H59</f>
        <v>29.918032786885245</v>
      </c>
      <c r="G24" s="71">
        <f>Assumptions!I59</f>
        <v>73.613445378151255</v>
      </c>
      <c r="H24" s="71">
        <f>Assumptions!J59</f>
        <v>24.333333333333332</v>
      </c>
      <c r="I24" s="71">
        <f ca="1">Assumptions!K59</f>
        <v>30</v>
      </c>
      <c r="J24" s="71">
        <f ca="1">Assumptions!L59</f>
        <v>30</v>
      </c>
      <c r="K24" s="71">
        <f ca="1">Assumptions!M59</f>
        <v>30</v>
      </c>
    </row>
    <row r="25" spans="2:19" ht="15" outlineLevel="1">
      <c r="B25" s="62" t="s">
        <v>88</v>
      </c>
      <c r="C25" s="62"/>
      <c r="D25" s="76">
        <f t="shared" ref="D25:K25" si="7">D86</f>
        <v>0</v>
      </c>
      <c r="E25" s="76">
        <f t="shared" si="7"/>
        <v>0.3</v>
      </c>
      <c r="F25" s="76">
        <f t="shared" si="7"/>
        <v>0</v>
      </c>
      <c r="G25" s="76">
        <f t="shared" si="7"/>
        <v>3</v>
      </c>
      <c r="H25" s="76">
        <f>H86</f>
        <v>3</v>
      </c>
      <c r="I25" s="76">
        <f t="shared" si="7"/>
        <v>3</v>
      </c>
      <c r="J25" s="76">
        <f t="shared" si="7"/>
        <v>3</v>
      </c>
      <c r="K25" s="76">
        <f t="shared" si="7"/>
        <v>3</v>
      </c>
    </row>
    <row r="26" spans="2:19" ht="15">
      <c r="J26" s="77"/>
      <c r="K26" s="77"/>
    </row>
    <row r="27" spans="2:19" ht="21">
      <c r="B27" s="78" t="s">
        <v>72</v>
      </c>
      <c r="C27" s="79"/>
      <c r="D27" s="79"/>
      <c r="E27" s="79"/>
      <c r="F27" s="79"/>
      <c r="G27" s="80"/>
      <c r="H27" s="80"/>
      <c r="I27" s="81"/>
      <c r="J27" s="82"/>
      <c r="K27" s="82"/>
    </row>
    <row r="28" spans="2:19" ht="15" outlineLevel="1">
      <c r="B28" s="83"/>
      <c r="C28" s="83"/>
      <c r="D28" s="83"/>
      <c r="E28" s="83"/>
      <c r="F28" s="83"/>
      <c r="G28" s="58"/>
      <c r="H28" s="58"/>
      <c r="I28" s="58"/>
      <c r="J28" s="77"/>
    </row>
    <row r="29" spans="2:19" ht="15.6" outlineLevel="1" thickBot="1">
      <c r="B29" s="84" t="s">
        <v>70</v>
      </c>
      <c r="D29" s="54" t="str">
        <f>D$7</f>
        <v>2021A</v>
      </c>
      <c r="E29" s="54" t="str">
        <f t="shared" ref="E29:K29" si="8">E$7</f>
        <v>2022A</v>
      </c>
      <c r="F29" s="54" t="str">
        <f t="shared" si="8"/>
        <v>2023A</v>
      </c>
      <c r="G29" s="54" t="str">
        <f t="shared" si="8"/>
        <v>2024A</v>
      </c>
      <c r="H29" s="54" t="str">
        <f t="shared" si="8"/>
        <v>2025A</v>
      </c>
      <c r="I29" s="54" t="str">
        <f t="shared" si="8"/>
        <v>2026E</v>
      </c>
      <c r="J29" s="54" t="str">
        <f t="shared" si="8"/>
        <v>2027E</v>
      </c>
      <c r="K29" s="54" t="str">
        <f t="shared" si="8"/>
        <v>2028E</v>
      </c>
    </row>
    <row r="30" spans="2:19" ht="15" outlineLevel="1">
      <c r="B30" s="84"/>
      <c r="D30" s="85"/>
      <c r="E30" s="85"/>
      <c r="F30" s="85"/>
      <c r="G30" s="85"/>
      <c r="H30" s="58"/>
      <c r="I30" s="86"/>
      <c r="J30" s="77"/>
      <c r="K30" s="77"/>
    </row>
    <row r="31" spans="2:19" ht="15" outlineLevel="1">
      <c r="B31" s="77" t="s">
        <v>89</v>
      </c>
      <c r="D31" s="87">
        <v>8.3000000000000007</v>
      </c>
      <c r="E31" s="87">
        <v>8.1999999999999993</v>
      </c>
      <c r="F31" s="87">
        <v>30.5</v>
      </c>
      <c r="G31" s="87">
        <v>11.9</v>
      </c>
      <c r="H31" s="88">
        <v>78</v>
      </c>
      <c r="I31" s="88">
        <f>H31*(1+I12)</f>
        <v>102.2</v>
      </c>
      <c r="J31" s="88">
        <f>I31*(1+J12)</f>
        <v>123</v>
      </c>
      <c r="K31" s="88">
        <f>J31*(1+K12)</f>
        <v>130.38</v>
      </c>
      <c r="N31" s="314"/>
      <c r="O31" s="314"/>
      <c r="P31" s="314"/>
      <c r="Q31" s="314"/>
      <c r="R31" s="314"/>
      <c r="S31" s="314"/>
    </row>
    <row r="32" spans="2:19" ht="15" outlineLevel="1">
      <c r="B32" s="77" t="s">
        <v>90</v>
      </c>
      <c r="D32" s="323">
        <v>-5.0999999999999996</v>
      </c>
      <c r="E32" s="323">
        <v>-5.5</v>
      </c>
      <c r="F32" s="323">
        <v>-19.5</v>
      </c>
      <c r="G32" s="323">
        <v>-8.5</v>
      </c>
      <c r="H32" s="89">
        <v>-54.1</v>
      </c>
      <c r="I32" s="89">
        <f ca="1">-Assumptions!K14</f>
        <v>-68.984999999999999</v>
      </c>
      <c r="J32" s="89">
        <f ca="1">-Assumptions!L14</f>
        <v>-79.95</v>
      </c>
      <c r="K32" s="89">
        <f ca="1">-Assumptions!M14</f>
        <v>-84.747</v>
      </c>
      <c r="L32" s="90"/>
      <c r="M32" s="90"/>
      <c r="N32" s="90"/>
    </row>
    <row r="33" spans="2:12" ht="15" outlineLevel="1">
      <c r="B33" s="91" t="s">
        <v>91</v>
      </c>
      <c r="D33" s="92">
        <f t="shared" ref="D33:K33" si="9">SUM(D31,D32)</f>
        <v>3.2000000000000011</v>
      </c>
      <c r="E33" s="92">
        <f t="shared" si="9"/>
        <v>2.6999999999999993</v>
      </c>
      <c r="F33" s="92">
        <f t="shared" si="9"/>
        <v>11</v>
      </c>
      <c r="G33" s="92">
        <f>SUM(G31,G32)</f>
        <v>3.4000000000000004</v>
      </c>
      <c r="H33" s="93">
        <f t="shared" si="9"/>
        <v>23.9</v>
      </c>
      <c r="I33" s="93">
        <f t="shared" ca="1" si="9"/>
        <v>33.215000000000003</v>
      </c>
      <c r="J33" s="93">
        <f t="shared" ca="1" si="9"/>
        <v>43.05</v>
      </c>
      <c r="K33" s="93">
        <f t="shared" ca="1" si="9"/>
        <v>45.632999999999996</v>
      </c>
    </row>
    <row r="34" spans="2:12" ht="15" outlineLevel="1">
      <c r="B34" s="77"/>
      <c r="D34" s="87"/>
      <c r="E34" s="87"/>
      <c r="F34" s="87"/>
      <c r="G34" s="87"/>
      <c r="H34" s="88"/>
      <c r="I34" s="88"/>
      <c r="J34" s="88"/>
      <c r="K34" s="88"/>
    </row>
    <row r="35" spans="2:12" ht="15" outlineLevel="1">
      <c r="B35" s="94" t="s">
        <v>92</v>
      </c>
      <c r="D35" s="95">
        <v>5.8</v>
      </c>
      <c r="E35" s="95">
        <v>6.5</v>
      </c>
      <c r="F35" s="95">
        <v>8.3000000000000007</v>
      </c>
      <c r="G35" s="95">
        <v>11.3</v>
      </c>
      <c r="H35" s="88">
        <v>14.8</v>
      </c>
      <c r="I35" s="88">
        <f ca="1">Assumptions!K20</f>
        <v>20.440000000000001</v>
      </c>
      <c r="J35" s="88">
        <f ca="1">Assumptions!L20</f>
        <v>21.524999999999999</v>
      </c>
      <c r="K35" s="88">
        <f ca="1">Assumptions!M20</f>
        <v>19.556999999999999</v>
      </c>
    </row>
    <row r="36" spans="2:12" ht="15" outlineLevel="1">
      <c r="B36" s="94" t="s">
        <v>93</v>
      </c>
      <c r="D36" s="95">
        <v>0</v>
      </c>
      <c r="E36" s="95">
        <v>0</v>
      </c>
      <c r="F36" s="95">
        <v>0</v>
      </c>
      <c r="G36" s="95">
        <v>0</v>
      </c>
      <c r="H36" s="88">
        <v>0</v>
      </c>
      <c r="I36" s="88">
        <f ca="1">Assumptions!K27</f>
        <v>0.61320000000000008</v>
      </c>
      <c r="J36" s="88">
        <f ca="1">Assumptions!L27</f>
        <v>0.73799999999999999</v>
      </c>
      <c r="K36" s="88">
        <f ca="1">Assumptions!M27</f>
        <v>0.78227999999999998</v>
      </c>
    </row>
    <row r="37" spans="2:12" ht="15" outlineLevel="1">
      <c r="B37" s="94" t="s">
        <v>207</v>
      </c>
      <c r="D37" s="95">
        <v>2.2999999999999998</v>
      </c>
      <c r="E37" s="95">
        <v>2.2000000000000002</v>
      </c>
      <c r="F37" s="95">
        <v>2.4</v>
      </c>
      <c r="G37" s="95">
        <v>2.7</v>
      </c>
      <c r="H37" s="95">
        <v>2.7</v>
      </c>
      <c r="I37" s="95">
        <v>3</v>
      </c>
      <c r="J37" s="95">
        <v>3.3</v>
      </c>
      <c r="K37" s="95">
        <v>3.6</v>
      </c>
      <c r="L37" s="326" t="s">
        <v>220</v>
      </c>
    </row>
    <row r="38" spans="2:12" ht="15" outlineLevel="1">
      <c r="B38" s="94" t="s">
        <v>94</v>
      </c>
      <c r="D38" s="95">
        <v>0</v>
      </c>
      <c r="E38" s="95">
        <v>0</v>
      </c>
      <c r="F38" s="95">
        <v>0</v>
      </c>
      <c r="G38" s="95">
        <v>0</v>
      </c>
      <c r="H38" s="96">
        <v>0</v>
      </c>
      <c r="I38" s="96">
        <v>0</v>
      </c>
      <c r="J38" s="96">
        <v>0</v>
      </c>
      <c r="K38" s="96">
        <v>0</v>
      </c>
      <c r="L38" s="322" t="s">
        <v>215</v>
      </c>
    </row>
    <row r="39" spans="2:12" ht="15" outlineLevel="1">
      <c r="B39" s="97" t="s">
        <v>95</v>
      </c>
      <c r="D39" s="98">
        <f t="shared" ref="D39:K39" si="10">SUM(D35:D38)</f>
        <v>8.1</v>
      </c>
      <c r="E39" s="98">
        <f t="shared" si="10"/>
        <v>8.6999999999999993</v>
      </c>
      <c r="F39" s="98">
        <f t="shared" si="10"/>
        <v>10.700000000000001</v>
      </c>
      <c r="G39" s="98">
        <f t="shared" si="10"/>
        <v>14</v>
      </c>
      <c r="H39" s="99">
        <f t="shared" si="10"/>
        <v>17.5</v>
      </c>
      <c r="I39" s="99">
        <f t="shared" ca="1" si="10"/>
        <v>24.0532</v>
      </c>
      <c r="J39" s="99">
        <f t="shared" ca="1" si="10"/>
        <v>25.562999999999999</v>
      </c>
      <c r="K39" s="99">
        <f t="shared" ca="1" si="10"/>
        <v>23.93928</v>
      </c>
    </row>
    <row r="40" spans="2:12" ht="15" outlineLevel="1">
      <c r="B40" s="94"/>
      <c r="D40" s="100"/>
      <c r="E40" s="100"/>
      <c r="F40" s="100"/>
      <c r="G40" s="100"/>
      <c r="H40" s="88"/>
      <c r="I40" s="88"/>
      <c r="J40" s="88"/>
      <c r="K40" s="88"/>
    </row>
    <row r="41" spans="2:12" ht="15" outlineLevel="1">
      <c r="B41" s="97" t="s">
        <v>96</v>
      </c>
      <c r="D41" s="92">
        <f t="shared" ref="D41:K41" si="11">D33-D39</f>
        <v>-4.8999999999999986</v>
      </c>
      <c r="E41" s="92">
        <f t="shared" si="11"/>
        <v>-6</v>
      </c>
      <c r="F41" s="92">
        <f t="shared" si="11"/>
        <v>0.29999999999999893</v>
      </c>
      <c r="G41" s="92">
        <f t="shared" si="11"/>
        <v>-10.6</v>
      </c>
      <c r="H41" s="92">
        <f t="shared" si="11"/>
        <v>6.3999999999999986</v>
      </c>
      <c r="I41" s="92">
        <f t="shared" ca="1" si="11"/>
        <v>9.1618000000000031</v>
      </c>
      <c r="J41" s="92">
        <f t="shared" ca="1" si="11"/>
        <v>17.486999999999998</v>
      </c>
      <c r="K41" s="92">
        <f t="shared" ca="1" si="11"/>
        <v>21.693719999999995</v>
      </c>
    </row>
    <row r="42" spans="2:12" ht="15" outlineLevel="1">
      <c r="B42" s="77"/>
      <c r="D42" s="87"/>
      <c r="E42" s="87"/>
      <c r="F42" s="87"/>
      <c r="G42" s="87"/>
      <c r="H42" s="88"/>
      <c r="I42" s="88"/>
      <c r="J42" s="101"/>
      <c r="K42" s="101"/>
    </row>
    <row r="43" spans="2:12" ht="15" outlineLevel="1">
      <c r="B43" s="94" t="s">
        <v>36</v>
      </c>
      <c r="D43" s="95">
        <v>-0.6</v>
      </c>
      <c r="E43" s="95">
        <v>-0.6</v>
      </c>
      <c r="F43" s="95">
        <v>-0.8</v>
      </c>
      <c r="G43" s="95">
        <v>-1</v>
      </c>
      <c r="H43" s="88">
        <v>-1.9</v>
      </c>
      <c r="I43" s="88">
        <f ca="1">Assumptions!K93</f>
        <v>0.67625000000000002</v>
      </c>
      <c r="J43" s="88">
        <f ca="1">Assumptions!L93</f>
        <v>0.86231250000000004</v>
      </c>
      <c r="K43" s="88">
        <f ca="1">Assumptions!M93</f>
        <v>0.99937500000000012</v>
      </c>
    </row>
    <row r="44" spans="2:12" ht="15" outlineLevel="1">
      <c r="B44" s="94" t="s">
        <v>97</v>
      </c>
      <c r="D44" s="95">
        <v>0</v>
      </c>
      <c r="E44" s="95">
        <v>0</v>
      </c>
      <c r="F44" s="95">
        <v>0</v>
      </c>
      <c r="G44" s="95">
        <v>0</v>
      </c>
      <c r="H44" s="88">
        <v>0.3</v>
      </c>
      <c r="I44" s="88">
        <v>0.3</v>
      </c>
      <c r="J44" s="88">
        <v>0.3</v>
      </c>
      <c r="K44" s="88">
        <v>0.3</v>
      </c>
      <c r="L44" s="322" t="s">
        <v>215</v>
      </c>
    </row>
    <row r="45" spans="2:12" ht="15" outlineLevel="1">
      <c r="B45" s="94" t="s">
        <v>98</v>
      </c>
      <c r="D45" s="95">
        <v>-0.5</v>
      </c>
      <c r="E45" s="95">
        <v>-0.1</v>
      </c>
      <c r="F45" s="95">
        <v>-0.2</v>
      </c>
      <c r="G45" s="95">
        <v>0</v>
      </c>
      <c r="H45" s="95">
        <v>0</v>
      </c>
      <c r="I45" s="95">
        <v>0</v>
      </c>
      <c r="J45" s="95">
        <v>0</v>
      </c>
      <c r="K45" s="95">
        <v>0</v>
      </c>
      <c r="L45" s="322" t="s">
        <v>215</v>
      </c>
    </row>
    <row r="46" spans="2:12" ht="15" outlineLevel="1">
      <c r="B46" s="94" t="s">
        <v>99</v>
      </c>
      <c r="D46" s="102">
        <f>SUM(D43:D45)</f>
        <v>-1.1000000000000001</v>
      </c>
      <c r="E46" s="102">
        <f>SUM(E43:E45)</f>
        <v>-0.7</v>
      </c>
      <c r="F46" s="102">
        <f>SUM(F43:F45)</f>
        <v>-1</v>
      </c>
      <c r="G46" s="102">
        <f>SUM(G43:G45)</f>
        <v>-1</v>
      </c>
      <c r="H46" s="102">
        <f>SUM(H43:H45)</f>
        <v>-1.5999999999999999</v>
      </c>
      <c r="I46" s="102">
        <f ca="1">-Assumptions!K93</f>
        <v>-0.67625000000000002</v>
      </c>
      <c r="J46" s="102">
        <f ca="1">-Assumptions!L93</f>
        <v>-0.86231250000000004</v>
      </c>
      <c r="K46" s="102">
        <f ca="1">-Assumptions!M93</f>
        <v>-0.99937500000000012</v>
      </c>
    </row>
    <row r="47" spans="2:12" ht="15" outlineLevel="1">
      <c r="B47" s="97" t="s">
        <v>100</v>
      </c>
      <c r="C47" s="291"/>
      <c r="D47" s="292">
        <f t="shared" ref="D47:K47" si="12">D41+D46</f>
        <v>-5.9999999999999982</v>
      </c>
      <c r="E47" s="292">
        <f t="shared" si="12"/>
        <v>-6.7</v>
      </c>
      <c r="F47" s="292">
        <f t="shared" si="12"/>
        <v>-0.70000000000000107</v>
      </c>
      <c r="G47" s="292">
        <f t="shared" si="12"/>
        <v>-11.6</v>
      </c>
      <c r="H47" s="293">
        <f t="shared" si="12"/>
        <v>4.7999999999999989</v>
      </c>
      <c r="I47" s="293">
        <f t="shared" ca="1" si="12"/>
        <v>8.4855500000000035</v>
      </c>
      <c r="J47" s="294">
        <f t="shared" ca="1" si="12"/>
        <v>16.624687499999997</v>
      </c>
      <c r="K47" s="294">
        <f t="shared" ca="1" si="12"/>
        <v>20.694344999999995</v>
      </c>
    </row>
    <row r="48" spans="2:12" ht="15" outlineLevel="1">
      <c r="B48" s="97"/>
      <c r="C48" s="291"/>
      <c r="D48" s="292"/>
      <c r="E48" s="292"/>
      <c r="F48" s="292"/>
      <c r="G48" s="292"/>
      <c r="H48" s="293"/>
      <c r="I48" s="293"/>
      <c r="J48" s="294"/>
      <c r="K48" s="294"/>
    </row>
    <row r="49" spans="2:11" ht="15" outlineLevel="1">
      <c r="B49" s="318" t="s">
        <v>205</v>
      </c>
      <c r="C49" s="291"/>
      <c r="D49" s="321">
        <v>0</v>
      </c>
      <c r="E49" s="321">
        <v>0</v>
      </c>
      <c r="F49" s="321">
        <v>0</v>
      </c>
      <c r="G49" s="321">
        <v>0</v>
      </c>
      <c r="H49" s="319">
        <v>3.4</v>
      </c>
      <c r="I49" s="319">
        <v>0</v>
      </c>
      <c r="J49" s="103">
        <v>0</v>
      </c>
      <c r="K49" s="103">
        <v>0</v>
      </c>
    </row>
    <row r="50" spans="2:11" ht="15" outlineLevel="1">
      <c r="B50" s="148" t="s">
        <v>206</v>
      </c>
      <c r="C50" s="291"/>
      <c r="D50" s="320">
        <f>D47-D49</f>
        <v>-5.9999999999999982</v>
      </c>
      <c r="E50" s="320">
        <f t="shared" ref="E50:K50" si="13">E47-E49</f>
        <v>-6.7</v>
      </c>
      <c r="F50" s="320">
        <f t="shared" si="13"/>
        <v>-0.70000000000000107</v>
      </c>
      <c r="G50" s="320">
        <f t="shared" si="13"/>
        <v>-11.6</v>
      </c>
      <c r="H50" s="320">
        <f t="shared" si="13"/>
        <v>1.399999999999999</v>
      </c>
      <c r="I50" s="320">
        <f t="shared" ca="1" si="13"/>
        <v>8.4855500000000035</v>
      </c>
      <c r="J50" s="320">
        <f t="shared" ca="1" si="13"/>
        <v>16.624687499999997</v>
      </c>
      <c r="K50" s="320">
        <f t="shared" ca="1" si="13"/>
        <v>20.694344999999995</v>
      </c>
    </row>
    <row r="51" spans="2:11" ht="15" outlineLevel="1">
      <c r="B51" s="97"/>
      <c r="D51" s="92"/>
      <c r="E51" s="92"/>
      <c r="F51" s="92"/>
      <c r="G51" s="92"/>
      <c r="H51" s="88"/>
      <c r="I51" s="88"/>
      <c r="J51" s="99"/>
      <c r="K51" s="103"/>
    </row>
    <row r="52" spans="2:11" ht="15" outlineLevel="1">
      <c r="B52" s="94" t="s">
        <v>101</v>
      </c>
      <c r="D52" s="102">
        <v>-0.8</v>
      </c>
      <c r="E52" s="102">
        <v>-1</v>
      </c>
      <c r="F52" s="102">
        <v>-0.7</v>
      </c>
      <c r="G52" s="102">
        <v>-0.6</v>
      </c>
      <c r="H52" s="102">
        <v>-0.6</v>
      </c>
      <c r="I52" s="102">
        <f ca="1">I50*I18</f>
        <v>1.1031215000000005</v>
      </c>
      <c r="J52" s="102">
        <f t="shared" ref="J52:K52" ca="1" si="14">J50*J18</f>
        <v>2.4937031249999992</v>
      </c>
      <c r="K52" s="102">
        <f t="shared" ca="1" si="14"/>
        <v>3.3110951999999991</v>
      </c>
    </row>
    <row r="53" spans="2:11" ht="15" outlineLevel="1">
      <c r="B53" s="97" t="s">
        <v>102</v>
      </c>
      <c r="D53" s="104">
        <f>D50-D52</f>
        <v>-5.1999999999999984</v>
      </c>
      <c r="E53" s="104">
        <f t="shared" ref="E53:K53" si="15">E50-E52</f>
        <v>-5.7</v>
      </c>
      <c r="F53" s="104">
        <f t="shared" si="15"/>
        <v>-1.1102230246251565E-15</v>
      </c>
      <c r="G53" s="104">
        <f t="shared" si="15"/>
        <v>-11</v>
      </c>
      <c r="H53" s="104">
        <f t="shared" si="15"/>
        <v>1.9999999999999991</v>
      </c>
      <c r="I53" s="104">
        <f ca="1">I50-I52</f>
        <v>7.3824285000000032</v>
      </c>
      <c r="J53" s="104">
        <f t="shared" ca="1" si="15"/>
        <v>14.130984374999997</v>
      </c>
      <c r="K53" s="104">
        <f t="shared" ca="1" si="15"/>
        <v>17.383249799999994</v>
      </c>
    </row>
    <row r="54" spans="2:11" ht="15" outlineLevel="1">
      <c r="B54" s="77"/>
      <c r="D54" s="87"/>
      <c r="E54" s="87"/>
      <c r="F54" s="87"/>
      <c r="G54" s="87"/>
      <c r="H54" s="87"/>
      <c r="I54" s="87"/>
      <c r="J54" s="105"/>
      <c r="K54" s="106"/>
    </row>
    <row r="55" spans="2:11" ht="15" outlineLevel="1">
      <c r="B55" s="77" t="s">
        <v>103</v>
      </c>
      <c r="D55" s="87">
        <v>0</v>
      </c>
      <c r="E55" s="87">
        <v>0</v>
      </c>
      <c r="F55" s="87">
        <v>0</v>
      </c>
      <c r="G55" s="87">
        <v>0</v>
      </c>
      <c r="H55" s="87">
        <f>G55</f>
        <v>0</v>
      </c>
      <c r="I55" s="87">
        <f>H55</f>
        <v>0</v>
      </c>
      <c r="J55" s="87">
        <f>I55</f>
        <v>0</v>
      </c>
      <c r="K55" s="87">
        <f>J55</f>
        <v>0</v>
      </c>
    </row>
    <row r="56" spans="2:11" ht="15">
      <c r="H56" s="107"/>
      <c r="I56" s="107"/>
      <c r="J56" s="105"/>
      <c r="K56" s="106"/>
    </row>
    <row r="57" spans="2:11" ht="21">
      <c r="B57" s="78" t="s">
        <v>81</v>
      </c>
      <c r="C57" s="78"/>
      <c r="D57" s="78"/>
      <c r="E57" s="78"/>
      <c r="F57" s="78"/>
      <c r="G57" s="78"/>
      <c r="H57" s="108"/>
      <c r="I57" s="108"/>
      <c r="J57" s="109"/>
      <c r="K57" s="110"/>
    </row>
    <row r="58" spans="2:11" ht="15" outlineLevel="1">
      <c r="B58" s="83"/>
      <c r="C58" s="83"/>
      <c r="D58" s="83"/>
      <c r="E58" s="83"/>
      <c r="F58" s="83"/>
      <c r="G58" s="83"/>
      <c r="H58" s="106"/>
      <c r="I58" s="106"/>
      <c r="J58" s="111"/>
      <c r="K58" s="106"/>
    </row>
    <row r="59" spans="2:11" ht="15.6" outlineLevel="1" thickBot="1">
      <c r="B59" s="53" t="s">
        <v>70</v>
      </c>
      <c r="C59" s="53"/>
      <c r="D59" s="54" t="str">
        <f>D$7</f>
        <v>2021A</v>
      </c>
      <c r="E59" s="54" t="str">
        <f t="shared" ref="E59:K59" si="16">E$7</f>
        <v>2022A</v>
      </c>
      <c r="F59" s="54" t="str">
        <f t="shared" si="16"/>
        <v>2023A</v>
      </c>
      <c r="G59" s="54" t="str">
        <f t="shared" si="16"/>
        <v>2024A</v>
      </c>
      <c r="H59" s="54" t="str">
        <f t="shared" si="16"/>
        <v>2025A</v>
      </c>
      <c r="I59" s="54" t="str">
        <f t="shared" si="16"/>
        <v>2026E</v>
      </c>
      <c r="J59" s="54" t="str">
        <f t="shared" si="16"/>
        <v>2027E</v>
      </c>
      <c r="K59" s="54" t="str">
        <f t="shared" si="16"/>
        <v>2028E</v>
      </c>
    </row>
    <row r="60" spans="2:11" ht="15" outlineLevel="1">
      <c r="B60" s="53"/>
      <c r="C60" s="53"/>
      <c r="D60" s="112"/>
      <c r="E60" s="112"/>
      <c r="F60" s="112"/>
      <c r="G60" s="112"/>
      <c r="H60" s="106"/>
      <c r="I60" s="106"/>
      <c r="J60" s="105"/>
      <c r="K60" s="106"/>
    </row>
    <row r="61" spans="2:11" ht="15" outlineLevel="1">
      <c r="B61" s="113" t="s">
        <v>104</v>
      </c>
      <c r="C61" s="114"/>
      <c r="D61" s="115"/>
      <c r="E61" s="115"/>
      <c r="F61" s="115"/>
      <c r="G61" s="115"/>
      <c r="H61" s="106"/>
      <c r="I61" s="106"/>
      <c r="J61" s="111"/>
      <c r="K61" s="106"/>
    </row>
    <row r="62" spans="2:11" ht="15" outlineLevel="1">
      <c r="B62" s="115" t="s">
        <v>105</v>
      </c>
      <c r="C62" s="115"/>
      <c r="D62" s="116">
        <v>5.3</v>
      </c>
      <c r="E62" s="116">
        <v>5.9</v>
      </c>
      <c r="F62" s="116">
        <v>2.2000000000000002</v>
      </c>
      <c r="G62" s="116">
        <v>2.8</v>
      </c>
      <c r="H62" s="117">
        <v>4.3</v>
      </c>
      <c r="I62" s="117">
        <f ca="1">I138</f>
        <v>13.739428499999986</v>
      </c>
      <c r="J62" s="117">
        <f ca="1">J138</f>
        <v>15.987741642123268</v>
      </c>
      <c r="K62" s="117">
        <f ca="1">K138</f>
        <v>27.559031168150661</v>
      </c>
    </row>
    <row r="63" spans="2:11" ht="15" outlineLevel="1">
      <c r="B63" s="115" t="s">
        <v>106</v>
      </c>
      <c r="C63" s="115"/>
      <c r="D63" s="116">
        <v>0</v>
      </c>
      <c r="E63" s="116">
        <v>0</v>
      </c>
      <c r="F63" s="116">
        <v>0</v>
      </c>
      <c r="G63" s="116">
        <v>0</v>
      </c>
      <c r="H63" s="117">
        <v>0</v>
      </c>
      <c r="I63" s="117">
        <v>0</v>
      </c>
      <c r="J63" s="117">
        <v>0</v>
      </c>
      <c r="K63" s="117">
        <v>0</v>
      </c>
    </row>
    <row r="64" spans="2:11" ht="15" outlineLevel="1">
      <c r="B64" s="115" t="s">
        <v>107</v>
      </c>
      <c r="C64" s="115"/>
      <c r="D64" s="116">
        <v>2.2999999999999998</v>
      </c>
      <c r="E64" s="116">
        <v>1.7</v>
      </c>
      <c r="F64" s="116">
        <v>3.3</v>
      </c>
      <c r="G64" s="116">
        <v>2.1</v>
      </c>
      <c r="H64" s="117">
        <v>50.8</v>
      </c>
      <c r="I64" s="117">
        <f ca="1">Assumptions!K45</f>
        <v>56</v>
      </c>
      <c r="J64" s="117">
        <f ca="1">Assumptions!L45</f>
        <v>67.397260273972606</v>
      </c>
      <c r="K64" s="117">
        <f ca="1">Assumptions!M45</f>
        <v>71.441095890410963</v>
      </c>
    </row>
    <row r="65" spans="2:13" ht="15" outlineLevel="1">
      <c r="B65" s="115" t="s">
        <v>108</v>
      </c>
      <c r="C65" s="115"/>
      <c r="D65" s="116">
        <v>2.4</v>
      </c>
      <c r="E65" s="116">
        <v>2.4</v>
      </c>
      <c r="F65" s="116">
        <v>3.5</v>
      </c>
      <c r="G65" s="116">
        <v>8.1</v>
      </c>
      <c r="H65" s="117">
        <v>4.0999999999999996</v>
      </c>
      <c r="I65" s="117">
        <v>5</v>
      </c>
      <c r="J65" s="117">
        <v>5</v>
      </c>
      <c r="K65" s="117">
        <v>5</v>
      </c>
      <c r="L65" s="322" t="s">
        <v>215</v>
      </c>
      <c r="M65" s="288"/>
    </row>
    <row r="66" spans="2:13" ht="15" outlineLevel="1">
      <c r="B66" s="115" t="s">
        <v>109</v>
      </c>
      <c r="C66" s="115"/>
      <c r="D66" s="116">
        <v>1.3</v>
      </c>
      <c r="E66" s="116">
        <v>3.1</v>
      </c>
      <c r="F66" s="116">
        <v>3.5</v>
      </c>
      <c r="G66" s="116">
        <v>1.1000000000000001</v>
      </c>
      <c r="H66" s="117">
        <v>4.5</v>
      </c>
      <c r="I66" s="117">
        <v>4</v>
      </c>
      <c r="J66" s="117">
        <v>4</v>
      </c>
      <c r="K66" s="117">
        <v>4</v>
      </c>
      <c r="L66" s="322" t="s">
        <v>215</v>
      </c>
      <c r="M66" s="288"/>
    </row>
    <row r="67" spans="2:13" ht="15" outlineLevel="1">
      <c r="B67" s="115" t="s">
        <v>110</v>
      </c>
      <c r="C67" s="115"/>
      <c r="D67" s="116">
        <v>0</v>
      </c>
      <c r="E67" s="116">
        <v>0.9</v>
      </c>
      <c r="F67" s="116">
        <v>0.9</v>
      </c>
      <c r="G67" s="116">
        <v>0.9</v>
      </c>
      <c r="H67" s="116">
        <v>5.7</v>
      </c>
      <c r="I67" s="116">
        <v>0</v>
      </c>
      <c r="J67" s="116">
        <v>0</v>
      </c>
      <c r="K67" s="116">
        <v>0</v>
      </c>
      <c r="L67" s="322" t="s">
        <v>216</v>
      </c>
    </row>
    <row r="68" spans="2:13" ht="15" outlineLevel="1">
      <c r="B68" s="115" t="s">
        <v>27</v>
      </c>
      <c r="C68" s="115"/>
      <c r="D68" s="119">
        <v>0</v>
      </c>
      <c r="E68" s="119">
        <v>0</v>
      </c>
      <c r="F68" s="119">
        <v>0</v>
      </c>
      <c r="G68" s="119">
        <v>0</v>
      </c>
      <c r="H68" s="119">
        <v>0</v>
      </c>
      <c r="I68" s="119">
        <v>0</v>
      </c>
      <c r="J68" s="119">
        <v>0</v>
      </c>
      <c r="K68" s="119">
        <v>0</v>
      </c>
    </row>
    <row r="69" spans="2:13" ht="15" outlineLevel="1">
      <c r="B69" s="113" t="s">
        <v>111</v>
      </c>
      <c r="C69" s="113"/>
      <c r="D69" s="120">
        <f>SUM(D62:D68)</f>
        <v>11.3</v>
      </c>
      <c r="E69" s="120">
        <f t="shared" ref="E69:K69" si="17">SUM(E62:E68)</f>
        <v>14</v>
      </c>
      <c r="F69" s="120">
        <f t="shared" si="17"/>
        <v>13.4</v>
      </c>
      <c r="G69" s="120">
        <f t="shared" si="17"/>
        <v>15</v>
      </c>
      <c r="H69" s="120">
        <f t="shared" si="17"/>
        <v>69.399999999999991</v>
      </c>
      <c r="I69" s="120">
        <f ca="1">SUM(I62:I68)</f>
        <v>78.739428499999988</v>
      </c>
      <c r="J69" s="120">
        <f t="shared" ca="1" si="17"/>
        <v>92.385001916095874</v>
      </c>
      <c r="K69" s="120">
        <f t="shared" ca="1" si="17"/>
        <v>108.00012705856162</v>
      </c>
    </row>
    <row r="70" spans="2:13" ht="15" outlineLevel="1">
      <c r="B70" s="115"/>
      <c r="C70" s="115"/>
      <c r="D70" s="115"/>
      <c r="E70" s="115"/>
      <c r="F70" s="115"/>
      <c r="G70" s="115"/>
      <c r="I70" s="117"/>
      <c r="J70" s="117"/>
      <c r="K70" s="117"/>
    </row>
    <row r="71" spans="2:13" ht="15" outlineLevel="1">
      <c r="B71" s="115" t="s">
        <v>112</v>
      </c>
      <c r="C71" s="115"/>
      <c r="D71" s="116">
        <v>3.7</v>
      </c>
      <c r="E71" s="116">
        <v>3.9</v>
      </c>
      <c r="F71" s="116">
        <v>4.3</v>
      </c>
      <c r="G71" s="116">
        <v>4.7</v>
      </c>
      <c r="H71" s="121">
        <v>5.4</v>
      </c>
      <c r="I71">
        <f>H71*1.02</f>
        <v>5.5080000000000009</v>
      </c>
      <c r="J71">
        <f t="shared" ref="J71:K71" si="18">I71*1.02</f>
        <v>5.6181600000000014</v>
      </c>
      <c r="K71">
        <f t="shared" si="18"/>
        <v>5.7305232000000013</v>
      </c>
      <c r="L71" s="322" t="s">
        <v>217</v>
      </c>
    </row>
    <row r="72" spans="2:13" ht="15" outlineLevel="1">
      <c r="B72" s="115" t="s">
        <v>113</v>
      </c>
      <c r="C72" s="115"/>
      <c r="D72" s="119">
        <v>-2</v>
      </c>
      <c r="E72" s="119">
        <v>-2.6</v>
      </c>
      <c r="F72" s="119">
        <v>-3.1</v>
      </c>
      <c r="G72" s="119">
        <v>-3.6</v>
      </c>
      <c r="H72" s="119">
        <v>-4</v>
      </c>
      <c r="I72" s="119">
        <v>-4</v>
      </c>
      <c r="J72" s="119">
        <v>-4</v>
      </c>
      <c r="K72" s="119">
        <v>-4</v>
      </c>
      <c r="L72" s="322" t="s">
        <v>215</v>
      </c>
    </row>
    <row r="73" spans="2:13" ht="15" outlineLevel="1">
      <c r="B73" s="113" t="s">
        <v>114</v>
      </c>
      <c r="C73" s="113"/>
      <c r="D73" s="123">
        <f>D71+D72</f>
        <v>1.7000000000000002</v>
      </c>
      <c r="E73" s="123">
        <f t="shared" ref="E73:G73" si="19">E71+E72</f>
        <v>1.2999999999999998</v>
      </c>
      <c r="F73" s="123">
        <f t="shared" si="19"/>
        <v>1.1999999999999997</v>
      </c>
      <c r="G73" s="123">
        <f t="shared" si="19"/>
        <v>1.1000000000000001</v>
      </c>
      <c r="H73" s="123">
        <f>H71+H72</f>
        <v>1.4000000000000004</v>
      </c>
      <c r="I73" s="123">
        <f t="shared" ref="I73:K73" si="20">I71+I72</f>
        <v>1.5080000000000009</v>
      </c>
      <c r="J73" s="123">
        <f t="shared" si="20"/>
        <v>1.6181600000000014</v>
      </c>
      <c r="K73" s="123">
        <f t="shared" si="20"/>
        <v>1.7305232000000013</v>
      </c>
    </row>
    <row r="74" spans="2:13" ht="15" outlineLevel="1">
      <c r="B74" s="113"/>
      <c r="C74" s="113"/>
      <c r="D74" s="120"/>
      <c r="E74" s="120"/>
      <c r="F74" s="120"/>
      <c r="G74" s="120"/>
      <c r="H74" s="117"/>
      <c r="I74" s="117"/>
      <c r="J74" s="117"/>
      <c r="K74" s="117"/>
      <c r="M74"/>
    </row>
    <row r="75" spans="2:13" ht="15" outlineLevel="1">
      <c r="B75" s="115" t="s">
        <v>115</v>
      </c>
      <c r="C75" s="115"/>
      <c r="D75" s="116">
        <v>9</v>
      </c>
      <c r="E75" s="116">
        <v>9.3000000000000007</v>
      </c>
      <c r="F75" s="116">
        <v>11.7</v>
      </c>
      <c r="G75" s="116">
        <v>14.1</v>
      </c>
      <c r="H75" s="116">
        <v>16.7</v>
      </c>
      <c r="I75" s="116">
        <f ca="1">Assumptions!K52</f>
        <v>15.33</v>
      </c>
      <c r="J75" s="116">
        <f ca="1">Assumptions!L52</f>
        <v>15.375</v>
      </c>
      <c r="K75" s="116">
        <f ca="1">Assumptions!M52</f>
        <v>13.038</v>
      </c>
    </row>
    <row r="76" spans="2:13" ht="16.8" outlineLevel="1">
      <c r="B76" s="113" t="s">
        <v>116</v>
      </c>
      <c r="C76" s="113"/>
      <c r="D76" s="124">
        <f>D75 + D69 + D73</f>
        <v>22</v>
      </c>
      <c r="E76" s="124">
        <f t="shared" ref="E76:K76" si="21">E75 + E69 + E73</f>
        <v>24.6</v>
      </c>
      <c r="F76" s="124">
        <f t="shared" si="21"/>
        <v>26.3</v>
      </c>
      <c r="G76" s="124">
        <f t="shared" si="21"/>
        <v>30.200000000000003</v>
      </c>
      <c r="H76" s="124">
        <f t="shared" si="21"/>
        <v>87.5</v>
      </c>
      <c r="I76" s="124">
        <f t="shared" ca="1" si="21"/>
        <v>95.577428499999982</v>
      </c>
      <c r="J76" s="124">
        <f t="shared" ca="1" si="21"/>
        <v>109.37816191609588</v>
      </c>
      <c r="K76" s="124">
        <f t="shared" ca="1" si="21"/>
        <v>122.76865025856162</v>
      </c>
    </row>
    <row r="77" spans="2:13" ht="15" outlineLevel="1">
      <c r="B77" s="115"/>
      <c r="C77" s="115"/>
      <c r="D77" s="115"/>
      <c r="E77" s="115"/>
      <c r="F77" s="115"/>
      <c r="G77" s="115"/>
      <c r="H77" s="117"/>
      <c r="I77" s="117"/>
      <c r="J77" s="117"/>
      <c r="K77" s="117"/>
    </row>
    <row r="78" spans="2:13" ht="15" outlineLevel="1">
      <c r="B78" s="125" t="s">
        <v>117</v>
      </c>
      <c r="C78" s="126"/>
      <c r="D78" s="127"/>
      <c r="E78" s="127"/>
      <c r="F78" s="127"/>
      <c r="G78" s="127"/>
      <c r="H78" s="117"/>
      <c r="I78" s="117"/>
      <c r="J78" s="117"/>
      <c r="K78" s="117"/>
    </row>
    <row r="79" spans="2:13" ht="15" outlineLevel="1">
      <c r="B79" s="127" t="s">
        <v>29</v>
      </c>
      <c r="C79" s="127"/>
      <c r="D79" s="128">
        <v>1</v>
      </c>
      <c r="E79" s="128">
        <v>1.5</v>
      </c>
      <c r="F79" s="128">
        <v>2.5</v>
      </c>
      <c r="G79" s="128">
        <v>2.4</v>
      </c>
      <c r="H79" s="117">
        <v>5.2</v>
      </c>
      <c r="I79" s="117">
        <f ca="1">Assumptions!K58</f>
        <v>8.4</v>
      </c>
      <c r="J79" s="117">
        <f ca="1">Assumptions!L58</f>
        <v>10.109589041095891</v>
      </c>
      <c r="K79" s="117">
        <f ca="1">Assumptions!M58</f>
        <v>10.716164383561642</v>
      </c>
      <c r="M79" s="288"/>
    </row>
    <row r="80" spans="2:13" ht="15" outlineLevel="1">
      <c r="B80" s="127" t="s">
        <v>118</v>
      </c>
      <c r="C80" s="127"/>
      <c r="D80" s="128">
        <v>0.5</v>
      </c>
      <c r="E80" s="128">
        <v>4.8</v>
      </c>
      <c r="F80" s="128">
        <v>4.5</v>
      </c>
      <c r="G80" s="128">
        <v>1.3</v>
      </c>
      <c r="H80" s="117">
        <v>36.799999999999997</v>
      </c>
      <c r="I80" s="117">
        <f ca="1">I32*(H80/H32)</f>
        <v>46.925101663585949</v>
      </c>
      <c r="J80" s="117">
        <f t="shared" ref="J80:K80" ca="1" si="22">J32*(I80/I32)</f>
        <v>54.383733826247685</v>
      </c>
      <c r="K80" s="117">
        <f t="shared" ca="1" si="22"/>
        <v>57.64675785582255</v>
      </c>
      <c r="M80" s="288"/>
    </row>
    <row r="81" spans="2:13" ht="15" outlineLevel="1">
      <c r="B81" s="127" t="s">
        <v>119</v>
      </c>
      <c r="C81" s="127"/>
      <c r="D81" s="128">
        <v>8.8000000000000007</v>
      </c>
      <c r="E81" s="128">
        <v>7.4</v>
      </c>
      <c r="F81" s="128">
        <v>8.1999999999999993</v>
      </c>
      <c r="G81" s="128">
        <v>10.9</v>
      </c>
      <c r="H81" s="128">
        <v>10.9</v>
      </c>
      <c r="I81" s="128">
        <v>10.9</v>
      </c>
      <c r="J81" s="128">
        <v>10.9</v>
      </c>
      <c r="K81" s="128">
        <v>10.9</v>
      </c>
    </row>
    <row r="82" spans="2:13" ht="15" outlineLevel="1">
      <c r="B82" s="127" t="s">
        <v>120</v>
      </c>
      <c r="C82" s="127"/>
      <c r="D82" s="128">
        <v>0.1</v>
      </c>
      <c r="E82" s="128">
        <v>0.2</v>
      </c>
      <c r="F82" s="128">
        <v>0.2</v>
      </c>
      <c r="G82" s="128">
        <v>0</v>
      </c>
      <c r="H82" s="128">
        <v>1.2</v>
      </c>
      <c r="I82" s="128">
        <v>1.2</v>
      </c>
      <c r="J82" s="128">
        <v>1.2</v>
      </c>
      <c r="K82" s="128">
        <v>1.2</v>
      </c>
      <c r="L82" s="261"/>
    </row>
    <row r="83" spans="2:13" ht="15" outlineLevel="1">
      <c r="B83" s="127" t="s">
        <v>121</v>
      </c>
      <c r="C83" s="127"/>
      <c r="D83" s="128">
        <v>0</v>
      </c>
      <c r="E83" s="128">
        <v>0</v>
      </c>
      <c r="F83" s="128">
        <v>0</v>
      </c>
      <c r="G83" s="128">
        <v>0.1</v>
      </c>
      <c r="H83" s="128">
        <v>0.1</v>
      </c>
      <c r="I83" s="128">
        <f>(H83/H31)*I31</f>
        <v>0.13102564102564102</v>
      </c>
      <c r="J83" s="128">
        <f>(I83/I31)*J31</f>
        <v>0.15769230769230766</v>
      </c>
      <c r="K83" s="128">
        <f>(J83/J31)*K31</f>
        <v>0.16715384615384613</v>
      </c>
      <c r="L83" s="261"/>
    </row>
    <row r="84" spans="2:13" ht="15" outlineLevel="1">
      <c r="B84" s="125" t="s">
        <v>122</v>
      </c>
      <c r="C84" s="125"/>
      <c r="D84" s="289">
        <f t="shared" ref="D84:K84" si="23">SUM(D79:D83)</f>
        <v>10.4</v>
      </c>
      <c r="E84" s="289">
        <f t="shared" si="23"/>
        <v>13.899999999999999</v>
      </c>
      <c r="F84" s="289">
        <f t="shared" si="23"/>
        <v>15.399999999999999</v>
      </c>
      <c r="G84" s="289">
        <f t="shared" si="23"/>
        <v>14.700000000000001</v>
      </c>
      <c r="H84" s="289">
        <f t="shared" si="23"/>
        <v>54.2</v>
      </c>
      <c r="I84" s="289">
        <f t="shared" ca="1" si="23"/>
        <v>67.556127304611593</v>
      </c>
      <c r="J84" s="289">
        <f t="shared" ca="1" si="23"/>
        <v>76.751015175035889</v>
      </c>
      <c r="K84" s="289">
        <f t="shared" ca="1" si="23"/>
        <v>80.63007608553805</v>
      </c>
    </row>
    <row r="85" spans="2:13" ht="15" outlineLevel="1">
      <c r="B85" s="127"/>
      <c r="C85" s="127"/>
      <c r="D85"/>
      <c r="E85" s="127"/>
      <c r="F85" s="127"/>
      <c r="G85" s="127"/>
      <c r="H85" s="117"/>
      <c r="I85" s="117"/>
      <c r="J85" s="117"/>
      <c r="K85" s="117"/>
    </row>
    <row r="86" spans="2:13" ht="15" outlineLevel="1">
      <c r="B86" s="127" t="s">
        <v>123</v>
      </c>
      <c r="C86" s="127"/>
      <c r="D86" s="128">
        <v>0</v>
      </c>
      <c r="E86" s="128">
        <v>0.3</v>
      </c>
      <c r="F86" s="128">
        <v>0</v>
      </c>
      <c r="G86" s="128">
        <v>3</v>
      </c>
      <c r="H86" s="137">
        <v>3</v>
      </c>
      <c r="I86" s="137">
        <v>3</v>
      </c>
      <c r="J86" s="137">
        <v>3</v>
      </c>
      <c r="K86" s="137">
        <v>3</v>
      </c>
    </row>
    <row r="87" spans="2:13" ht="15" outlineLevel="1">
      <c r="B87" s="127" t="s">
        <v>124</v>
      </c>
      <c r="C87" s="127"/>
      <c r="D87" s="129">
        <v>0.9</v>
      </c>
      <c r="E87" s="129">
        <v>0.7</v>
      </c>
      <c r="F87" s="129">
        <v>0.6</v>
      </c>
      <c r="G87" s="129">
        <v>0.5</v>
      </c>
      <c r="H87" s="129">
        <v>0.4</v>
      </c>
      <c r="I87" s="129">
        <v>0.5</v>
      </c>
      <c r="J87" s="129">
        <v>0.5</v>
      </c>
      <c r="K87" s="129">
        <v>0.5</v>
      </c>
      <c r="M87" s="261"/>
    </row>
    <row r="88" spans="2:13" ht="15" outlineLevel="1">
      <c r="B88" s="125" t="s">
        <v>125</v>
      </c>
      <c r="C88" s="125"/>
      <c r="D88" s="130">
        <f>D86+D84+D87</f>
        <v>11.3</v>
      </c>
      <c r="E88" s="130">
        <f>E86+E84+E87</f>
        <v>14.899999999999999</v>
      </c>
      <c r="F88" s="130">
        <f t="shared" ref="F88:K88" si="24">F86+F84+F87</f>
        <v>15.999999999999998</v>
      </c>
      <c r="G88" s="130">
        <f t="shared" si="24"/>
        <v>18.200000000000003</v>
      </c>
      <c r="H88" s="130">
        <f t="shared" si="24"/>
        <v>57.6</v>
      </c>
      <c r="I88" s="130">
        <f t="shared" ca="1" si="24"/>
        <v>71.056127304611593</v>
      </c>
      <c r="J88" s="130">
        <f t="shared" ca="1" si="24"/>
        <v>80.251015175035889</v>
      </c>
      <c r="K88" s="130">
        <f t="shared" ca="1" si="24"/>
        <v>84.13007608553805</v>
      </c>
    </row>
    <row r="89" spans="2:13" ht="15" outlineLevel="1">
      <c r="B89" s="131"/>
      <c r="C89" s="131"/>
      <c r="D89" s="131"/>
      <c r="E89" s="131"/>
      <c r="F89" s="131"/>
      <c r="G89" s="131"/>
      <c r="H89" s="117"/>
      <c r="I89" s="117"/>
      <c r="J89" s="117"/>
      <c r="K89" s="117"/>
    </row>
    <row r="90" spans="2:13" ht="15" outlineLevel="1">
      <c r="B90" s="132" t="s">
        <v>126</v>
      </c>
      <c r="C90" s="133"/>
      <c r="D90" s="115"/>
      <c r="E90" s="115"/>
      <c r="F90" s="115"/>
      <c r="G90" s="115"/>
      <c r="H90" s="117"/>
      <c r="I90" s="117"/>
      <c r="J90" s="134"/>
      <c r="K90" s="134"/>
    </row>
    <row r="91" spans="2:13" ht="15" outlineLevel="1">
      <c r="B91" s="115" t="s">
        <v>127</v>
      </c>
      <c r="C91" s="115"/>
      <c r="D91" s="131">
        <v>0.2</v>
      </c>
      <c r="E91" s="131">
        <v>0.2</v>
      </c>
      <c r="F91" s="131">
        <v>0.2</v>
      </c>
      <c r="G91" s="131">
        <v>0.2</v>
      </c>
      <c r="H91" s="131">
        <v>0.3</v>
      </c>
      <c r="I91" s="131">
        <v>0.3</v>
      </c>
      <c r="J91" s="131">
        <v>0.3</v>
      </c>
      <c r="K91" s="131">
        <v>0.3</v>
      </c>
    </row>
    <row r="92" spans="2:13" ht="15" outlineLevel="1">
      <c r="B92" s="115" t="s">
        <v>128</v>
      </c>
      <c r="C92" s="115"/>
      <c r="D92" s="131">
        <v>13.4</v>
      </c>
      <c r="E92" s="131">
        <v>18.100000000000001</v>
      </c>
      <c r="F92" s="131">
        <v>18.2</v>
      </c>
      <c r="G92" s="131">
        <v>33.200000000000003</v>
      </c>
      <c r="H92" s="131">
        <v>42.2</v>
      </c>
      <c r="I92" s="131">
        <v>42.2</v>
      </c>
      <c r="J92" s="131">
        <v>42.2</v>
      </c>
      <c r="K92" s="131">
        <v>42.2</v>
      </c>
    </row>
    <row r="93" spans="2:13" ht="15" outlineLevel="1">
      <c r="B93" s="115" t="s">
        <v>129</v>
      </c>
      <c r="C93" s="115"/>
      <c r="D93" s="131">
        <v>5.5</v>
      </c>
      <c r="E93" s="131">
        <v>5.5</v>
      </c>
      <c r="F93" s="131">
        <v>5.5</v>
      </c>
      <c r="G93" s="131">
        <v>5.5</v>
      </c>
      <c r="H93" s="131">
        <v>8.9</v>
      </c>
      <c r="I93" s="131">
        <v>8.9</v>
      </c>
      <c r="J93" s="131">
        <v>8.9</v>
      </c>
      <c r="K93" s="131">
        <v>8.9</v>
      </c>
    </row>
    <row r="94" spans="2:13" ht="15" outlineLevel="1">
      <c r="B94" s="115" t="s">
        <v>130</v>
      </c>
      <c r="C94" s="115"/>
      <c r="D94" s="119">
        <v>-8.4</v>
      </c>
      <c r="E94" s="119">
        <v>-13.9</v>
      </c>
      <c r="F94" s="119">
        <v>-13.6</v>
      </c>
      <c r="G94" s="119">
        <v>-26.8</v>
      </c>
      <c r="H94" s="122">
        <v>-24.5</v>
      </c>
      <c r="I94" s="122">
        <f ca="1">H94+I53</f>
        <v>-17.117571499999997</v>
      </c>
      <c r="J94" s="122">
        <f ca="1">I94+J53</f>
        <v>-2.9865871249999998</v>
      </c>
      <c r="K94" s="122">
        <f ca="1">J94+K53</f>
        <v>14.396662674999995</v>
      </c>
    </row>
    <row r="95" spans="2:13" ht="15" outlineLevel="1">
      <c r="B95" s="113" t="s">
        <v>131</v>
      </c>
      <c r="C95" s="113"/>
      <c r="D95" s="123">
        <f t="shared" ref="D95:K95" si="25">SUM(D91:D94)</f>
        <v>10.700000000000001</v>
      </c>
      <c r="E95" s="123">
        <f t="shared" si="25"/>
        <v>9.9</v>
      </c>
      <c r="F95" s="123">
        <f t="shared" si="25"/>
        <v>10.299999999999999</v>
      </c>
      <c r="G95" s="123">
        <f t="shared" si="25"/>
        <v>12.100000000000005</v>
      </c>
      <c r="H95" s="123">
        <f t="shared" si="25"/>
        <v>26.9</v>
      </c>
      <c r="I95" s="123">
        <f t="shared" ca="1" si="25"/>
        <v>34.282428500000002</v>
      </c>
      <c r="J95" s="123">
        <f t="shared" ca="1" si="25"/>
        <v>48.413412874999999</v>
      </c>
      <c r="K95" s="123">
        <f t="shared" ca="1" si="25"/>
        <v>65.796662674999993</v>
      </c>
    </row>
    <row r="96" spans="2:13" ht="15" outlineLevel="1">
      <c r="B96" s="115"/>
      <c r="C96" s="115"/>
      <c r="D96" s="135"/>
      <c r="E96" s="135"/>
      <c r="F96" s="135"/>
      <c r="G96" s="135"/>
      <c r="H96" s="122"/>
      <c r="I96" s="122"/>
      <c r="J96" s="136"/>
      <c r="K96" s="136"/>
    </row>
    <row r="97" spans="2:12" ht="16.8" outlineLevel="1">
      <c r="B97" s="113" t="s">
        <v>132</v>
      </c>
      <c r="C97" s="113"/>
      <c r="D97" s="124">
        <f>D95+D88</f>
        <v>22</v>
      </c>
      <c r="E97" s="124">
        <f t="shared" ref="E97:K97" si="26">E95+E88</f>
        <v>24.799999999999997</v>
      </c>
      <c r="F97" s="124">
        <f t="shared" si="26"/>
        <v>26.299999999999997</v>
      </c>
      <c r="G97" s="124">
        <f t="shared" si="26"/>
        <v>30.300000000000008</v>
      </c>
      <c r="H97" s="124">
        <f>H95+H88</f>
        <v>84.5</v>
      </c>
      <c r="I97" s="124">
        <f ca="1">I95+I88</f>
        <v>105.33855580461159</v>
      </c>
      <c r="J97" s="124">
        <f t="shared" ca="1" si="26"/>
        <v>128.66442805003589</v>
      </c>
      <c r="K97" s="124">
        <f t="shared" ca="1" si="26"/>
        <v>149.92673876053806</v>
      </c>
    </row>
    <row r="98" spans="2:12" ht="15" outlineLevel="1">
      <c r="B98" s="113"/>
      <c r="C98" s="113"/>
      <c r="D98" s="137">
        <f t="shared" ref="D98:K98" si="27">D97-D76</f>
        <v>0</v>
      </c>
      <c r="E98" s="137">
        <f t="shared" si="27"/>
        <v>0.19999999999999574</v>
      </c>
      <c r="F98" s="137">
        <f t="shared" si="27"/>
        <v>0</v>
      </c>
      <c r="G98" s="137">
        <f t="shared" si="27"/>
        <v>0.10000000000000497</v>
      </c>
      <c r="H98" s="137">
        <f t="shared" si="27"/>
        <v>-3</v>
      </c>
      <c r="I98" s="137">
        <f t="shared" ca="1" si="27"/>
        <v>9.7611273046116054</v>
      </c>
      <c r="J98" s="137">
        <f t="shared" ca="1" si="27"/>
        <v>19.286266133940018</v>
      </c>
      <c r="K98" s="137">
        <f t="shared" ca="1" si="27"/>
        <v>27.158088501976437</v>
      </c>
    </row>
    <row r="99" spans="2:12">
      <c r="H99" s="107"/>
      <c r="I99" s="107"/>
      <c r="J99" s="107"/>
      <c r="K99" s="107"/>
    </row>
    <row r="100" spans="2:12" ht="21">
      <c r="B100" s="138" t="s">
        <v>133</v>
      </c>
      <c r="C100" s="138"/>
      <c r="D100" s="138"/>
      <c r="E100" s="138"/>
      <c r="F100" s="138"/>
      <c r="G100" s="139"/>
      <c r="H100" s="140"/>
      <c r="I100" s="141"/>
      <c r="J100" s="141"/>
      <c r="K100" s="142"/>
    </row>
    <row r="101" spans="2:12" ht="15" outlineLevel="1">
      <c r="B101" s="143"/>
      <c r="C101" s="143"/>
      <c r="D101" s="143"/>
      <c r="E101" s="143"/>
      <c r="F101" s="143"/>
      <c r="G101" s="144"/>
      <c r="H101" s="145"/>
      <c r="I101" s="146"/>
      <c r="J101" s="146"/>
      <c r="K101" s="107"/>
    </row>
    <row r="102" spans="2:12" ht="15.6" outlineLevel="1" thickBot="1">
      <c r="B102" s="147" t="s">
        <v>70</v>
      </c>
      <c r="D102" s="54" t="str">
        <f>D$7</f>
        <v>2021A</v>
      </c>
      <c r="E102" s="54" t="str">
        <f t="shared" ref="E102:K102" si="28">E$7</f>
        <v>2022A</v>
      </c>
      <c r="F102" s="54" t="str">
        <f t="shared" si="28"/>
        <v>2023A</v>
      </c>
      <c r="G102" s="54" t="str">
        <f t="shared" si="28"/>
        <v>2024A</v>
      </c>
      <c r="H102" s="54" t="str">
        <f t="shared" si="28"/>
        <v>2025A</v>
      </c>
      <c r="I102" s="54" t="str">
        <f t="shared" si="28"/>
        <v>2026E</v>
      </c>
      <c r="J102" s="54" t="str">
        <f t="shared" si="28"/>
        <v>2027E</v>
      </c>
      <c r="K102" s="54" t="str">
        <f t="shared" si="28"/>
        <v>2028E</v>
      </c>
    </row>
    <row r="103" spans="2:12" ht="15" outlineLevel="1">
      <c r="B103" s="97" t="s">
        <v>134</v>
      </c>
      <c r="D103" s="94"/>
      <c r="E103" s="94"/>
      <c r="F103" s="94"/>
      <c r="G103" s="94"/>
      <c r="H103" s="106"/>
      <c r="I103" s="106"/>
      <c r="J103" s="106"/>
      <c r="K103" s="107"/>
    </row>
    <row r="104" spans="2:12" ht="15" outlineLevel="1">
      <c r="B104" s="148" t="s">
        <v>135</v>
      </c>
      <c r="D104" s="94"/>
      <c r="E104" s="94"/>
      <c r="F104" s="94"/>
      <c r="G104" s="94"/>
      <c r="H104" s="106"/>
      <c r="I104" s="106"/>
      <c r="J104" s="106"/>
      <c r="K104" s="107"/>
    </row>
    <row r="105" spans="2:12" ht="15" outlineLevel="1">
      <c r="B105" s="97" t="s">
        <v>102</v>
      </c>
      <c r="D105" s="149">
        <f t="shared" ref="D105:K105" si="29">D53</f>
        <v>-5.1999999999999984</v>
      </c>
      <c r="E105" s="149">
        <f t="shared" si="29"/>
        <v>-5.7</v>
      </c>
      <c r="F105" s="149">
        <f t="shared" si="29"/>
        <v>-1.1102230246251565E-15</v>
      </c>
      <c r="G105" s="149">
        <f t="shared" si="29"/>
        <v>-11</v>
      </c>
      <c r="H105" s="149">
        <f t="shared" si="29"/>
        <v>1.9999999999999991</v>
      </c>
      <c r="I105" s="149">
        <f t="shared" ca="1" si="29"/>
        <v>7.3824285000000032</v>
      </c>
      <c r="J105" s="149">
        <f t="shared" ca="1" si="29"/>
        <v>14.130984374999997</v>
      </c>
      <c r="K105" s="149">
        <f t="shared" ca="1" si="29"/>
        <v>17.383249799999994</v>
      </c>
      <c r="L105"/>
    </row>
    <row r="106" spans="2:12" ht="15" outlineLevel="1">
      <c r="B106" s="94" t="s">
        <v>136</v>
      </c>
      <c r="D106" s="150">
        <v>0.5</v>
      </c>
      <c r="E106" s="150">
        <v>0.5</v>
      </c>
      <c r="F106" s="150">
        <v>0.5</v>
      </c>
      <c r="G106" s="150">
        <v>0.4</v>
      </c>
      <c r="H106" s="150">
        <v>0.5</v>
      </c>
      <c r="I106" s="150">
        <v>0.5</v>
      </c>
      <c r="J106" s="150">
        <v>0.5</v>
      </c>
      <c r="K106" s="150">
        <v>0.5</v>
      </c>
    </row>
    <row r="107" spans="2:12" ht="15" outlineLevel="1">
      <c r="B107" s="94"/>
      <c r="D107" s="151"/>
      <c r="E107" s="151"/>
      <c r="F107" s="151"/>
      <c r="G107" s="151"/>
      <c r="H107" s="117"/>
      <c r="I107" s="117"/>
      <c r="J107" s="117"/>
      <c r="K107" s="134"/>
    </row>
    <row r="108" spans="2:12" ht="15" outlineLevel="1">
      <c r="B108" s="94" t="s">
        <v>208</v>
      </c>
      <c r="D108" s="151">
        <v>2.2999999999999998</v>
      </c>
      <c r="E108" s="151">
        <v>2.2000000000000002</v>
      </c>
      <c r="F108" s="151">
        <v>2.4</v>
      </c>
      <c r="G108" s="151">
        <v>2.7</v>
      </c>
      <c r="H108" s="117">
        <v>2.7</v>
      </c>
      <c r="I108" s="150">
        <f>I37</f>
        <v>3</v>
      </c>
      <c r="J108" s="150">
        <f t="shared" ref="J108:K108" si="30">J37</f>
        <v>3.3</v>
      </c>
      <c r="K108" s="150">
        <f t="shared" si="30"/>
        <v>3.6</v>
      </c>
    </row>
    <row r="109" spans="2:12" ht="15" outlineLevel="1">
      <c r="B109" s="94" t="s">
        <v>137</v>
      </c>
      <c r="D109" s="150">
        <v>12.4</v>
      </c>
      <c r="E109" s="150">
        <v>-0.2</v>
      </c>
      <c r="F109" s="150">
        <v>-2</v>
      </c>
      <c r="G109" s="152">
        <v>2.8</v>
      </c>
      <c r="H109" s="152">
        <v>-51.1</v>
      </c>
      <c r="I109" s="152">
        <f ca="1">-I64+H64</f>
        <v>-5.2000000000000028</v>
      </c>
      <c r="J109" s="152">
        <f t="shared" ref="I109:K111" ca="1" si="31">-J64+I64</f>
        <v>-11.397260273972606</v>
      </c>
      <c r="K109" s="152">
        <f t="shared" ca="1" si="31"/>
        <v>-4.0438356164383578</v>
      </c>
      <c r="L109" s="288"/>
    </row>
    <row r="110" spans="2:12" ht="15" outlineLevel="1">
      <c r="B110" s="94" t="s">
        <v>204</v>
      </c>
      <c r="D110" s="150">
        <v>-0.4</v>
      </c>
      <c r="E110" s="150">
        <v>0</v>
      </c>
      <c r="F110" s="150">
        <v>-1.1000000000000001</v>
      </c>
      <c r="G110" s="150">
        <v>-3.7</v>
      </c>
      <c r="H110" s="117">
        <v>4</v>
      </c>
      <c r="I110" s="117">
        <f t="shared" si="31"/>
        <v>-0.90000000000000036</v>
      </c>
      <c r="J110" s="117">
        <f t="shared" si="31"/>
        <v>0</v>
      </c>
      <c r="K110" s="117">
        <f t="shared" si="31"/>
        <v>0</v>
      </c>
    </row>
    <row r="111" spans="2:12" ht="15" outlineLevel="1">
      <c r="B111" s="94" t="s">
        <v>55</v>
      </c>
      <c r="D111" s="261">
        <v>0.2</v>
      </c>
      <c r="E111" s="261">
        <v>0.3</v>
      </c>
      <c r="F111" s="150">
        <v>0.3</v>
      </c>
      <c r="G111" s="150">
        <v>0.3</v>
      </c>
      <c r="H111" s="117">
        <v>0.3</v>
      </c>
      <c r="I111" s="117">
        <f>-I66+H66</f>
        <v>0.5</v>
      </c>
      <c r="J111" s="117">
        <f t="shared" si="31"/>
        <v>0</v>
      </c>
      <c r="K111" s="117">
        <f t="shared" si="31"/>
        <v>0</v>
      </c>
    </row>
    <row r="112" spans="2:12" ht="15" outlineLevel="1">
      <c r="B112" s="94" t="s">
        <v>138</v>
      </c>
      <c r="D112" s="150">
        <v>-7.4</v>
      </c>
      <c r="E112" s="150">
        <v>4.8</v>
      </c>
      <c r="F112" s="150">
        <v>0.6</v>
      </c>
      <c r="G112" s="150">
        <v>-2.6</v>
      </c>
      <c r="H112" s="117">
        <v>38.299999999999997</v>
      </c>
      <c r="I112" s="117">
        <f ca="1">I79-H79</f>
        <v>3.2</v>
      </c>
      <c r="J112" s="117">
        <f ca="1">J79-I79</f>
        <v>1.7095890410958905</v>
      </c>
      <c r="K112" s="117">
        <f ca="1">K79-J79</f>
        <v>0.60657534246575118</v>
      </c>
    </row>
    <row r="113" spans="2:12" ht="15" outlineLevel="1">
      <c r="B113" s="94" t="s">
        <v>209</v>
      </c>
      <c r="D113" s="153">
        <v>0.5</v>
      </c>
      <c r="E113" s="153">
        <v>0.4</v>
      </c>
      <c r="F113" s="153">
        <v>1</v>
      </c>
      <c r="G113" s="153">
        <v>0.9</v>
      </c>
      <c r="H113" s="122">
        <v>4.4000000000000004</v>
      </c>
      <c r="I113" s="122">
        <f>-I68+H68</f>
        <v>0</v>
      </c>
      <c r="J113" s="122">
        <f>-J68+I68</f>
        <v>0</v>
      </c>
      <c r="K113" s="122">
        <f>-K68+J68</f>
        <v>0</v>
      </c>
      <c r="L113" s="301"/>
    </row>
    <row r="114" spans="2:12" ht="15" outlineLevel="1">
      <c r="B114" s="97" t="s">
        <v>139</v>
      </c>
      <c r="D114" s="302">
        <f t="shared" ref="D114:G114" si="32">SUM(D105:D113)</f>
        <v>2.9000000000000004</v>
      </c>
      <c r="E114" s="302">
        <f t="shared" si="32"/>
        <v>2.2999999999999994</v>
      </c>
      <c r="F114" s="302">
        <f t="shared" si="32"/>
        <v>1.6999999999999984</v>
      </c>
      <c r="G114" s="302">
        <f t="shared" si="32"/>
        <v>-10.199999999999999</v>
      </c>
      <c r="H114" s="302">
        <f>SUM(H105:H113)</f>
        <v>1.099999999999989</v>
      </c>
      <c r="I114" s="302">
        <f ca="1">SUM(I105:I113)</f>
        <v>8.482428500000001</v>
      </c>
      <c r="J114" s="302">
        <f ca="1">SUM(J105:J113)</f>
        <v>8.2433131421232826</v>
      </c>
      <c r="K114" s="302">
        <f ca="1">SUM(K105:K113)</f>
        <v>18.045989526027391</v>
      </c>
    </row>
    <row r="115" spans="2:12" ht="15" outlineLevel="1">
      <c r="B115" s="94"/>
      <c r="D115" s="151"/>
      <c r="E115" s="151"/>
      <c r="F115" s="151"/>
      <c r="G115" s="151"/>
      <c r="H115" s="117"/>
      <c r="I115" s="117"/>
      <c r="J115" s="117"/>
      <c r="K115" s="134"/>
    </row>
    <row r="116" spans="2:12" ht="15" outlineLevel="1">
      <c r="B116" s="148" t="s">
        <v>140</v>
      </c>
      <c r="D116" s="151"/>
      <c r="E116" s="151"/>
      <c r="F116" s="151"/>
      <c r="G116" s="151"/>
      <c r="H116" s="117"/>
      <c r="I116" s="117"/>
      <c r="J116" s="117"/>
      <c r="K116" s="134"/>
    </row>
    <row r="117" spans="2:12" ht="15" outlineLevel="1">
      <c r="B117" s="94" t="s">
        <v>211</v>
      </c>
      <c r="D117" s="150">
        <v>-0.3</v>
      </c>
      <c r="E117" s="150">
        <v>-0.2</v>
      </c>
      <c r="F117" s="150">
        <v>-0.2</v>
      </c>
      <c r="G117" s="150">
        <v>-0.2</v>
      </c>
      <c r="H117" s="117">
        <v>-0.5</v>
      </c>
      <c r="I117" s="117">
        <f ca="1">-Assumptions!K65*Assumptions!K10</f>
        <v>-1.5329999999999999</v>
      </c>
      <c r="J117" s="117">
        <f ca="1">-Assumptions!L65*Assumptions!L10</f>
        <v>-1.845</v>
      </c>
      <c r="K117" s="117">
        <f ca="1">-Assumptions!M65*Assumptions!M10</f>
        <v>-1.9556999999999998</v>
      </c>
    </row>
    <row r="118" spans="2:12" ht="15" outlineLevel="1">
      <c r="B118" s="94" t="s">
        <v>218</v>
      </c>
      <c r="D118" s="150">
        <v>-2.8</v>
      </c>
      <c r="E118" s="150">
        <v>-3.3</v>
      </c>
      <c r="F118" s="150">
        <v>-4.8</v>
      </c>
      <c r="G118" s="150">
        <v>-4.5999999999999996</v>
      </c>
      <c r="H118" s="117">
        <v>-4.4000000000000004</v>
      </c>
      <c r="I118" s="117">
        <f ca="1">-Assumptions!K70</f>
        <v>-5.1100000000000003</v>
      </c>
      <c r="J118" s="117">
        <f ca="1">-Assumptions!L70</f>
        <v>-6.15</v>
      </c>
      <c r="K118" s="117">
        <f ca="1">-Assumptions!M70</f>
        <v>-6.5190000000000001</v>
      </c>
    </row>
    <row r="119" spans="2:12" ht="15" outlineLevel="1">
      <c r="B119" s="322" t="s">
        <v>210</v>
      </c>
      <c r="D119" s="153">
        <v>0</v>
      </c>
      <c r="E119" s="153">
        <v>0</v>
      </c>
      <c r="F119" s="153">
        <v>0</v>
      </c>
      <c r="G119" s="153">
        <v>0</v>
      </c>
      <c r="H119" s="122">
        <v>0.3</v>
      </c>
      <c r="I119" s="122">
        <v>0</v>
      </c>
      <c r="J119" s="122">
        <v>0</v>
      </c>
      <c r="K119" s="122">
        <v>0</v>
      </c>
    </row>
    <row r="120" spans="2:12" ht="15" outlineLevel="1">
      <c r="B120" s="97" t="s">
        <v>141</v>
      </c>
      <c r="D120" s="123">
        <f t="shared" ref="D120:G120" si="33">SUM(D117:D119)</f>
        <v>-3.0999999999999996</v>
      </c>
      <c r="E120" s="123">
        <f t="shared" si="33"/>
        <v>-3.5</v>
      </c>
      <c r="F120" s="123">
        <f t="shared" si="33"/>
        <v>-5</v>
      </c>
      <c r="G120" s="123">
        <f t="shared" si="33"/>
        <v>-4.8</v>
      </c>
      <c r="H120" s="123">
        <f>SUM(H117:H119)</f>
        <v>-4.6000000000000005</v>
      </c>
      <c r="I120" s="123">
        <f t="shared" ref="I120:K120" ca="1" si="34">SUM(I117:I119)</f>
        <v>-6.6430000000000007</v>
      </c>
      <c r="J120" s="123">
        <f t="shared" ca="1" si="34"/>
        <v>-7.9950000000000001</v>
      </c>
      <c r="K120" s="123">
        <f t="shared" ca="1" si="34"/>
        <v>-8.4747000000000003</v>
      </c>
    </row>
    <row r="121" spans="2:12" ht="15" outlineLevel="1">
      <c r="B121" s="97"/>
      <c r="D121" s="149"/>
      <c r="E121" s="149"/>
      <c r="F121" s="149"/>
      <c r="G121" s="149"/>
      <c r="H121" s="117"/>
      <c r="I121" s="117"/>
      <c r="J121" s="117"/>
      <c r="K121" s="134"/>
    </row>
    <row r="122" spans="2:12" ht="15" outlineLevel="1">
      <c r="B122" s="97" t="s">
        <v>142</v>
      </c>
      <c r="D122" s="151"/>
      <c r="E122" s="151"/>
      <c r="F122" s="151"/>
      <c r="G122" s="151"/>
      <c r="H122" s="117"/>
      <c r="I122" s="117"/>
      <c r="J122" s="117"/>
      <c r="K122" s="134"/>
    </row>
    <row r="123" spans="2:12" ht="15" outlineLevel="1">
      <c r="B123" s="94" t="s">
        <v>143</v>
      </c>
      <c r="D123" s="150">
        <v>3.5</v>
      </c>
      <c r="E123" s="150">
        <v>1</v>
      </c>
      <c r="F123" s="150">
        <v>1.7</v>
      </c>
      <c r="G123" s="150">
        <v>5.8</v>
      </c>
      <c r="H123" s="150">
        <v>22.9</v>
      </c>
      <c r="I123"/>
      <c r="J123"/>
      <c r="K123"/>
      <c r="L123" s="326" t="s">
        <v>219</v>
      </c>
    </row>
    <row r="124" spans="2:12" ht="15" outlineLevel="1">
      <c r="B124" s="94" t="s">
        <v>144</v>
      </c>
      <c r="D124" s="153">
        <v>-0.3</v>
      </c>
      <c r="E124" s="153">
        <v>-2.2000000000000002</v>
      </c>
      <c r="F124" s="153">
        <v>-1.5</v>
      </c>
      <c r="G124" s="153">
        <v>-1.5</v>
      </c>
      <c r="H124" s="153">
        <v>-20.3</v>
      </c>
      <c r="I124" s="153"/>
      <c r="J124" s="153"/>
      <c r="K124" s="153"/>
    </row>
    <row r="125" spans="2:12" ht="15" outlineLevel="1">
      <c r="B125" s="49" t="s">
        <v>145</v>
      </c>
      <c r="D125" s="150">
        <f>SUM(D123:D124)</f>
        <v>3.2</v>
      </c>
      <c r="E125" s="150">
        <f t="shared" ref="E125:H125" si="35">SUM(E123:E124)</f>
        <v>-1.2000000000000002</v>
      </c>
      <c r="F125" s="150">
        <f>SUM(F123:F124)</f>
        <v>0.19999999999999996</v>
      </c>
      <c r="G125" s="150">
        <f t="shared" si="35"/>
        <v>4.3</v>
      </c>
      <c r="H125" s="150">
        <f t="shared" si="35"/>
        <v>2.5999999999999979</v>
      </c>
      <c r="I125" s="150">
        <v>0</v>
      </c>
      <c r="J125" s="150">
        <v>0</v>
      </c>
      <c r="K125" s="150">
        <v>0</v>
      </c>
    </row>
    <row r="126" spans="2:12" ht="15" outlineLevel="1">
      <c r="B126" s="94"/>
      <c r="D126" s="151"/>
      <c r="E126" s="151"/>
      <c r="F126" s="151"/>
      <c r="G126" s="151"/>
      <c r="H126" s="117"/>
      <c r="I126" s="117"/>
      <c r="J126" s="117"/>
      <c r="K126" s="134"/>
    </row>
    <row r="127" spans="2:12" ht="15" outlineLevel="1">
      <c r="B127" s="94" t="s">
        <v>146</v>
      </c>
      <c r="D127" s="118">
        <v>2</v>
      </c>
      <c r="E127" s="118">
        <v>4.9000000000000004</v>
      </c>
      <c r="F127" s="118">
        <v>0.1</v>
      </c>
      <c r="G127" s="118">
        <v>12.8</v>
      </c>
      <c r="H127" s="118">
        <v>9.5</v>
      </c>
      <c r="I127" s="118">
        <v>0</v>
      </c>
      <c r="J127" s="118">
        <v>0</v>
      </c>
      <c r="K127" s="118">
        <v>0</v>
      </c>
    </row>
    <row r="128" spans="2:12" ht="15" outlineLevel="1">
      <c r="B128" s="94" t="s">
        <v>147</v>
      </c>
      <c r="D128" s="153">
        <v>0</v>
      </c>
      <c r="E128" s="153">
        <v>0</v>
      </c>
      <c r="F128" s="153">
        <v>0</v>
      </c>
      <c r="G128" s="153">
        <v>0</v>
      </c>
      <c r="H128" s="153">
        <v>0</v>
      </c>
      <c r="I128" s="153">
        <v>0</v>
      </c>
      <c r="J128" s="153">
        <v>0</v>
      </c>
      <c r="K128" s="153">
        <v>0</v>
      </c>
    </row>
    <row r="129" spans="2:12" ht="15" outlineLevel="1">
      <c r="B129" s="49" t="s">
        <v>148</v>
      </c>
      <c r="D129" s="150">
        <f>SUM(D127:D128)</f>
        <v>2</v>
      </c>
      <c r="E129" s="150">
        <f t="shared" ref="E129:F129" si="36">SUM(E127:E128)</f>
        <v>4.9000000000000004</v>
      </c>
      <c r="F129" s="150">
        <f t="shared" si="36"/>
        <v>0.1</v>
      </c>
      <c r="G129" s="150">
        <f>SUM(G127:G128)</f>
        <v>12.8</v>
      </c>
      <c r="H129" s="150">
        <f>SUM(H127:H128)</f>
        <v>9.5</v>
      </c>
      <c r="I129" s="154">
        <f>I91-H91</f>
        <v>0</v>
      </c>
      <c r="J129" s="154">
        <f>J91-I91</f>
        <v>0</v>
      </c>
      <c r="K129" s="154">
        <f>K91-J91</f>
        <v>0</v>
      </c>
    </row>
    <row r="130" spans="2:12" ht="15" outlineLevel="1">
      <c r="B130" s="94"/>
      <c r="D130" s="151"/>
      <c r="E130" s="151"/>
      <c r="F130" s="151"/>
      <c r="G130" s="151"/>
      <c r="H130" s="117"/>
      <c r="I130" s="117"/>
      <c r="J130" s="117"/>
      <c r="K130" s="134"/>
    </row>
    <row r="131" spans="2:12" ht="15" outlineLevel="1">
      <c r="B131" s="94" t="s">
        <v>149</v>
      </c>
      <c r="D131" s="150" t="s">
        <v>80</v>
      </c>
      <c r="E131" s="150" t="s">
        <v>80</v>
      </c>
      <c r="F131" s="149" t="s">
        <v>80</v>
      </c>
      <c r="G131" s="149" t="s">
        <v>80</v>
      </c>
      <c r="H131" s="118" t="s">
        <v>80</v>
      </c>
      <c r="I131" s="118" t="s">
        <v>80</v>
      </c>
      <c r="J131" s="118" t="s">
        <v>80</v>
      </c>
      <c r="K131" s="118" t="s">
        <v>80</v>
      </c>
    </row>
    <row r="132" spans="2:12" ht="15" outlineLevel="1">
      <c r="B132" s="94" t="s">
        <v>150</v>
      </c>
      <c r="D132" s="153">
        <v>-0.6</v>
      </c>
      <c r="E132" s="153">
        <v>-0.8</v>
      </c>
      <c r="F132" s="153">
        <v>-0.7</v>
      </c>
      <c r="G132" s="153">
        <v>-1.7</v>
      </c>
      <c r="H132" s="260">
        <v>-2.4</v>
      </c>
      <c r="I132" s="260">
        <v>2</v>
      </c>
      <c r="J132" s="260">
        <v>2</v>
      </c>
      <c r="K132" s="260">
        <v>2</v>
      </c>
      <c r="L132" s="326" t="s">
        <v>215</v>
      </c>
    </row>
    <row r="133" spans="2:12" ht="15" outlineLevel="1">
      <c r="B133" s="48" t="s">
        <v>151</v>
      </c>
      <c r="D133" s="149">
        <f t="shared" ref="D133:G133" si="37">D129+D125+D132</f>
        <v>4.6000000000000005</v>
      </c>
      <c r="E133" s="149">
        <f t="shared" si="37"/>
        <v>2.9000000000000004</v>
      </c>
      <c r="F133" s="149">
        <f t="shared" si="37"/>
        <v>-0.4</v>
      </c>
      <c r="G133" s="149">
        <f t="shared" si="37"/>
        <v>15.400000000000002</v>
      </c>
      <c r="H133" s="149">
        <f>H129+H125+H132</f>
        <v>9.6999999999999975</v>
      </c>
      <c r="I133" s="149">
        <f t="shared" ref="I133:K133" si="38">I129+I125+I132</f>
        <v>2</v>
      </c>
      <c r="J133" s="149">
        <f t="shared" si="38"/>
        <v>2</v>
      </c>
      <c r="K133" s="149">
        <f t="shared" si="38"/>
        <v>2</v>
      </c>
    </row>
    <row r="134" spans="2:12" ht="15" outlineLevel="1">
      <c r="B134" s="94"/>
      <c r="D134" s="155"/>
      <c r="E134" s="155"/>
      <c r="F134" s="155"/>
      <c r="G134" s="155"/>
      <c r="H134" s="122"/>
      <c r="I134" s="122"/>
      <c r="J134" s="122"/>
      <c r="K134" s="136"/>
    </row>
    <row r="135" spans="2:12" outlineLevel="1"/>
    <row r="136" spans="2:12" ht="15">
      <c r="B136" s="94" t="s">
        <v>152</v>
      </c>
      <c r="H136" s="150">
        <f>G138</f>
        <v>3.6999999999999997</v>
      </c>
      <c r="I136" s="150">
        <f>H138</f>
        <v>9.8999999999999861</v>
      </c>
      <c r="J136" s="150">
        <f ca="1">I138</f>
        <v>13.739428499999986</v>
      </c>
      <c r="K136" s="150">
        <f ca="1">J138</f>
        <v>15.987741642123268</v>
      </c>
    </row>
    <row r="137" spans="2:12" ht="15">
      <c r="B137" s="97" t="s">
        <v>153</v>
      </c>
      <c r="D137" s="156"/>
      <c r="E137" s="156">
        <f t="shared" ref="E137:F137" si="39">SUM(E133,E120,E114)</f>
        <v>1.6999999999999997</v>
      </c>
      <c r="F137" s="156">
        <f t="shared" si="39"/>
        <v>-3.700000000000002</v>
      </c>
      <c r="G137" s="156">
        <f>SUM(G133,G120,G114)</f>
        <v>0.40000000000000213</v>
      </c>
      <c r="H137" s="156">
        <f>SUM(H133,H120,H114)</f>
        <v>6.199999999999986</v>
      </c>
      <c r="I137" s="156">
        <f ca="1">SUM(I133,I120,I114)</f>
        <v>3.8394285000000004</v>
      </c>
      <c r="J137" s="156">
        <f t="shared" ref="J137:K137" ca="1" si="40">SUM(J133,J120,J114)</f>
        <v>2.2483131421232825</v>
      </c>
      <c r="K137" s="156">
        <f t="shared" ca="1" si="40"/>
        <v>11.571289526027391</v>
      </c>
    </row>
    <row r="138" spans="2:12" ht="15">
      <c r="B138" s="94" t="s">
        <v>212</v>
      </c>
      <c r="D138" s="259">
        <f>D62+D67</f>
        <v>5.3</v>
      </c>
      <c r="E138" s="259">
        <f t="shared" ref="E138:F138" si="41">E62+E67</f>
        <v>6.8000000000000007</v>
      </c>
      <c r="F138" s="259">
        <f t="shared" si="41"/>
        <v>3.1</v>
      </c>
      <c r="G138" s="259">
        <f>G62+G67</f>
        <v>3.6999999999999997</v>
      </c>
      <c r="H138" s="153">
        <f>SUM(H136:H137)</f>
        <v>9.8999999999999861</v>
      </c>
      <c r="I138" s="153">
        <f ca="1">SUM(I136:I137)</f>
        <v>13.739428499999986</v>
      </c>
      <c r="J138" s="153">
        <f ca="1">SUM(J136:J137)</f>
        <v>15.987741642123268</v>
      </c>
      <c r="K138" s="153">
        <f ca="1">SUM(K136:K137)</f>
        <v>27.559031168150661</v>
      </c>
    </row>
    <row r="139" spans="2:12">
      <c r="K139"/>
    </row>
    <row r="141" spans="2:12">
      <c r="B141"/>
      <c r="C141"/>
      <c r="D141"/>
      <c r="E141"/>
      <c r="F141"/>
      <c r="G141"/>
      <c r="H141"/>
      <c r="I141"/>
      <c r="J141"/>
      <c r="K141"/>
    </row>
    <row r="142" spans="2:12">
      <c r="B142"/>
      <c r="C142"/>
      <c r="D142"/>
      <c r="E142"/>
      <c r="F142"/>
      <c r="G142"/>
      <c r="H142"/>
      <c r="I142"/>
      <c r="J142"/>
      <c r="K142"/>
    </row>
    <row r="143" spans="2:12">
      <c r="B143"/>
      <c r="C143"/>
      <c r="D143"/>
      <c r="E143"/>
      <c r="F143"/>
      <c r="G143"/>
      <c r="H143"/>
      <c r="I143"/>
      <c r="J143"/>
      <c r="K14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B51E-BCBF-4C75-BF5F-B42AE79E1FEE}">
  <sheetPr>
    <tabColor rgb="FFF7F2EC"/>
  </sheetPr>
  <dimension ref="B2:K8"/>
  <sheetViews>
    <sheetView workbookViewId="0">
      <selection activeCell="E13" sqref="E13"/>
    </sheetView>
  </sheetViews>
  <sheetFormatPr defaultRowHeight="14.4"/>
  <sheetData>
    <row r="2" spans="2:11" ht="15">
      <c r="B2" s="62"/>
      <c r="C2" s="63"/>
      <c r="D2" s="64"/>
      <c r="E2" s="295"/>
      <c r="F2" s="65"/>
      <c r="G2" s="66"/>
      <c r="H2" s="65"/>
      <c r="I2" s="67"/>
      <c r="J2" s="67"/>
      <c r="K2" s="67"/>
    </row>
    <row r="3" spans="2:11" ht="15">
      <c r="B3" s="62"/>
      <c r="C3" s="63"/>
      <c r="D3" s="65"/>
      <c r="E3" s="65"/>
      <c r="F3" s="65"/>
      <c r="G3" s="66"/>
      <c r="H3" s="65"/>
      <c r="I3" s="296"/>
      <c r="J3" s="296"/>
      <c r="K3" s="296"/>
    </row>
    <row r="4" spans="2:11" ht="15">
      <c r="B4" s="62"/>
      <c r="C4" s="63"/>
      <c r="D4" s="68"/>
      <c r="E4" s="68"/>
      <c r="F4" s="68"/>
      <c r="G4" s="69"/>
      <c r="H4" s="68"/>
      <c r="I4" s="299"/>
      <c r="J4" s="299"/>
      <c r="K4" s="299"/>
    </row>
    <row r="5" spans="2:11" ht="15">
      <c r="B5" s="62"/>
      <c r="C5" s="62"/>
      <c r="D5" s="65"/>
      <c r="E5" s="65"/>
      <c r="F5" s="65"/>
      <c r="G5" s="65"/>
      <c r="H5" s="65"/>
      <c r="I5" s="296"/>
      <c r="J5" s="296"/>
      <c r="K5" s="296"/>
    </row>
    <row r="6" spans="2:11" ht="15">
      <c r="B6" s="62"/>
      <c r="C6" s="62"/>
      <c r="D6" s="65"/>
      <c r="E6" s="65"/>
      <c r="F6" s="65"/>
      <c r="G6" s="65"/>
      <c r="H6" s="65"/>
      <c r="I6" s="296"/>
      <c r="J6" s="296"/>
      <c r="K6" s="296"/>
    </row>
    <row r="7" spans="2:11" ht="15">
      <c r="B7" s="62"/>
      <c r="C7" s="62"/>
      <c r="D7" s="65"/>
      <c r="E7" s="65"/>
      <c r="F7" s="65"/>
      <c r="G7" s="65"/>
      <c r="H7" s="65"/>
      <c r="I7" s="296"/>
      <c r="J7" s="296"/>
      <c r="K7" s="296"/>
    </row>
    <row r="8" spans="2:11" ht="15">
      <c r="B8" s="62"/>
      <c r="C8" s="62"/>
      <c r="D8" s="295"/>
      <c r="E8" s="295"/>
      <c r="F8" s="295"/>
      <c r="G8" s="295"/>
      <c r="H8" s="295"/>
      <c r="I8" s="296"/>
      <c r="J8" s="296"/>
      <c r="K8" s="2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7F2EC"/>
  </sheetPr>
  <dimension ref="A1:AG980"/>
  <sheetViews>
    <sheetView showGridLines="0" zoomScale="74" zoomScaleNormal="100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Q22" sqref="Q22"/>
    </sheetView>
  </sheetViews>
  <sheetFormatPr defaultColWidth="14.44140625" defaultRowHeight="15" customHeight="1"/>
  <cols>
    <col min="1" max="1" width="2.77734375" style="196" customWidth="1"/>
    <col min="2" max="3" width="15.77734375" style="196" customWidth="1"/>
    <col min="4" max="4" width="10.44140625" style="196" bestFit="1" customWidth="1"/>
    <col min="5" max="10" width="15.77734375" style="196" customWidth="1"/>
    <col min="11" max="11" width="4" style="196" bestFit="1" customWidth="1"/>
    <col min="12" max="13" width="2.77734375" style="196" customWidth="1"/>
    <col min="14" max="17" width="15.77734375" style="196" customWidth="1"/>
    <col min="18" max="18" width="15.44140625" style="196" bestFit="1" customWidth="1"/>
    <col min="19" max="22" width="15.77734375" style="196" customWidth="1"/>
    <col min="23" max="23" width="5.77734375" style="196" bestFit="1" customWidth="1"/>
    <col min="24" max="24" width="2.77734375" style="196" customWidth="1"/>
    <col min="25" max="33" width="12.77734375" style="196" customWidth="1"/>
    <col min="34" max="16384" width="14.44140625" style="196"/>
  </cols>
  <sheetData>
    <row r="1" spans="1:33" s="249" customFormat="1" ht="15.75" customHeight="1">
      <c r="A1" s="250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</row>
    <row r="2" spans="1:33" s="249" customFormat="1" ht="15.75" customHeight="1">
      <c r="A2" s="250"/>
      <c r="B2" s="251" t="s">
        <v>154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</row>
    <row r="3" spans="1:33" s="249" customFormat="1" ht="15.75" customHeight="1">
      <c r="A3" s="252"/>
      <c r="B3" s="252" t="s">
        <v>40</v>
      </c>
      <c r="C3" s="252"/>
      <c r="D3" s="252"/>
      <c r="E3" s="252"/>
      <c r="F3" s="253">
        <f ca="1">TODAY()</f>
        <v>46071</v>
      </c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</row>
    <row r="4" spans="1:33" ht="15.75" customHeight="1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9"/>
      <c r="AA4" s="197"/>
      <c r="AB4" s="199"/>
      <c r="AC4" s="197"/>
      <c r="AD4" s="197"/>
      <c r="AE4" s="197"/>
      <c r="AF4" s="197"/>
      <c r="AG4" s="197"/>
    </row>
    <row r="5" spans="1:33" ht="15.75" customHeight="1">
      <c r="A5" s="197"/>
      <c r="B5" s="283" t="s">
        <v>41</v>
      </c>
      <c r="C5" s="284"/>
      <c r="D5" s="284"/>
      <c r="E5" s="284"/>
      <c r="F5" s="285"/>
      <c r="G5" s="343" t="s">
        <v>213</v>
      </c>
      <c r="H5" s="286">
        <v>2026</v>
      </c>
      <c r="I5" s="286">
        <f>H5+1</f>
        <v>2027</v>
      </c>
      <c r="J5" s="287">
        <f>I5+1</f>
        <v>2028</v>
      </c>
      <c r="K5" s="197"/>
      <c r="L5" s="197"/>
      <c r="M5" s="197"/>
      <c r="N5" s="331"/>
      <c r="O5" s="430" t="s">
        <v>155</v>
      </c>
      <c r="P5" s="431"/>
      <c r="Q5" s="431"/>
      <c r="R5" s="432"/>
      <c r="W5" s="197"/>
      <c r="X5" s="197"/>
      <c r="Y5" s="197"/>
      <c r="Z5" s="199"/>
      <c r="AA5" s="197"/>
      <c r="AB5" s="199"/>
      <c r="AC5" s="197"/>
      <c r="AD5" s="197"/>
      <c r="AE5" s="197"/>
      <c r="AF5" s="197"/>
      <c r="AG5" s="197"/>
    </row>
    <row r="6" spans="1:33" ht="15.75" customHeight="1">
      <c r="A6" s="197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333"/>
      <c r="O6" s="197"/>
      <c r="P6" s="197"/>
      <c r="Q6" s="197"/>
      <c r="R6" s="197"/>
      <c r="W6" s="197"/>
      <c r="X6" s="197"/>
      <c r="Y6" s="197"/>
      <c r="Z6" s="199"/>
      <c r="AA6" s="197"/>
      <c r="AB6" s="199"/>
      <c r="AC6" s="197"/>
      <c r="AD6" s="197"/>
      <c r="AE6" s="197"/>
      <c r="AF6" s="197"/>
      <c r="AG6" s="197"/>
    </row>
    <row r="7" spans="1:33" ht="15.75" customHeight="1">
      <c r="A7" s="197"/>
      <c r="B7" s="279" t="s">
        <v>156</v>
      </c>
      <c r="C7" s="279"/>
      <c r="D7" s="279"/>
      <c r="E7" s="279"/>
      <c r="F7" s="280"/>
      <c r="G7" s="344">
        <f>'Three Statement Model'!H31</f>
        <v>78</v>
      </c>
      <c r="H7" s="280">
        <f>'Three Statement Model'!I31</f>
        <v>102.2</v>
      </c>
      <c r="I7" s="280">
        <f>'Three Statement Model'!J31</f>
        <v>123</v>
      </c>
      <c r="J7" s="280">
        <f>'Three Statement Model'!K31</f>
        <v>130.38</v>
      </c>
      <c r="K7" s="197"/>
      <c r="L7" s="197"/>
      <c r="M7" s="197"/>
      <c r="N7" s="333"/>
      <c r="O7" s="201" t="str">
        <f>$J$5&amp;"E Unlevered Free Cash Flow"</f>
        <v>2028E Unlevered Free Cash Flow</v>
      </c>
      <c r="P7" s="202"/>
      <c r="Q7" s="202"/>
      <c r="R7" s="203">
        <f ca="1">J29</f>
        <v>31.762989031963578</v>
      </c>
      <c r="W7" s="197"/>
      <c r="X7" s="197"/>
      <c r="Y7" s="197"/>
      <c r="AA7" s="197"/>
      <c r="AB7" s="197"/>
      <c r="AC7" s="197"/>
      <c r="AD7" s="197"/>
      <c r="AE7" s="197"/>
      <c r="AF7" s="197"/>
      <c r="AG7" s="197"/>
    </row>
    <row r="8" spans="1:33" ht="15.75" customHeight="1">
      <c r="A8" s="197"/>
      <c r="B8" s="198" t="s">
        <v>157</v>
      </c>
      <c r="C8" s="198"/>
      <c r="D8" s="198"/>
      <c r="E8" s="198"/>
      <c r="F8" s="204"/>
      <c r="G8"/>
      <c r="H8" s="204">
        <f>(H7-G7)/G7</f>
        <v>0.31025641025641032</v>
      </c>
      <c r="I8" s="204">
        <f>(I7-H7)/H7</f>
        <v>0.20352250489236787</v>
      </c>
      <c r="J8" s="204">
        <f>(J7-I7)/I7</f>
        <v>5.9999999999999963E-2</v>
      </c>
      <c r="K8" s="197"/>
      <c r="L8" s="197"/>
      <c r="M8" s="197"/>
      <c r="N8" s="333"/>
      <c r="O8" s="205" t="s">
        <v>158</v>
      </c>
      <c r="P8" s="206"/>
      <c r="Q8" s="206"/>
      <c r="R8" s="207">
        <v>0.02</v>
      </c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</row>
    <row r="9" spans="1:33" ht="15.75" customHeight="1">
      <c r="A9" s="197"/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334"/>
      <c r="O9" s="208" t="s">
        <v>159</v>
      </c>
      <c r="P9" s="209"/>
      <c r="Q9" s="209"/>
      <c r="R9" s="210">
        <f ca="1">(R7*(1+R8))/(D32-R8)</f>
        <v>386.75550212634948</v>
      </c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</row>
    <row r="10" spans="1:33" ht="15.75" customHeight="1">
      <c r="A10" s="197"/>
      <c r="B10" s="197" t="s">
        <v>17</v>
      </c>
      <c r="C10" s="197"/>
      <c r="D10" s="197"/>
      <c r="E10" s="197"/>
      <c r="F10" s="211"/>
      <c r="G10" s="211">
        <f>-'Three Statement Model'!H32</f>
        <v>54.1</v>
      </c>
      <c r="H10" s="211">
        <f ca="1">-'Three Statement Model'!I32</f>
        <v>68.984999999999999</v>
      </c>
      <c r="I10" s="211">
        <f ca="1">-'Three Statement Model'!J32</f>
        <v>79.95</v>
      </c>
      <c r="J10" s="211">
        <f ca="1">-'Three Statement Model'!K32</f>
        <v>84.747</v>
      </c>
      <c r="K10" s="197"/>
      <c r="L10" s="197"/>
      <c r="M10" s="197"/>
      <c r="N10" s="333"/>
      <c r="O10" s="212" t="s">
        <v>160</v>
      </c>
      <c r="P10" s="197"/>
      <c r="Q10" s="197"/>
      <c r="R10" s="213">
        <f>J34</f>
        <v>0.74364392504204568</v>
      </c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</row>
    <row r="11" spans="1:33" ht="15.75" customHeight="1">
      <c r="A11" s="197"/>
      <c r="B11" s="279" t="s">
        <v>161</v>
      </c>
      <c r="C11" s="279"/>
      <c r="D11" s="279"/>
      <c r="E11" s="279"/>
      <c r="F11" s="280"/>
      <c r="G11" s="344">
        <f t="shared" ref="G11" si="0">G7-G10</f>
        <v>23.9</v>
      </c>
      <c r="H11" s="280">
        <f ca="1">H7-H10</f>
        <v>33.215000000000003</v>
      </c>
      <c r="I11" s="280">
        <f ca="1">I7-I10</f>
        <v>43.05</v>
      </c>
      <c r="J11" s="280">
        <f ca="1">J7-J10</f>
        <v>45.632999999999996</v>
      </c>
      <c r="K11" s="197"/>
      <c r="L11" s="197"/>
      <c r="M11" s="197"/>
      <c r="N11" s="333"/>
      <c r="O11" s="212" t="s">
        <v>162</v>
      </c>
      <c r="P11" s="197"/>
      <c r="Q11" s="197"/>
      <c r="R11" s="214">
        <f ca="1">R10*R9</f>
        <v>287.60837963284575</v>
      </c>
      <c r="W11" s="298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</row>
    <row r="12" spans="1:33" ht="15.75" customHeight="1">
      <c r="A12" s="197"/>
      <c r="B12" s="198" t="s">
        <v>163</v>
      </c>
      <c r="C12" s="198"/>
      <c r="D12" s="198"/>
      <c r="E12" s="198"/>
      <c r="F12" s="204"/>
      <c r="G12" s="204">
        <f>G11/G7</f>
        <v>0.30641025641025638</v>
      </c>
      <c r="H12" s="204">
        <f ca="1">H11/H7</f>
        <v>0.32500000000000001</v>
      </c>
      <c r="I12" s="204">
        <f ca="1">I11/I7</f>
        <v>0.35</v>
      </c>
      <c r="J12" s="204">
        <f ca="1">J11/J7</f>
        <v>0.35</v>
      </c>
      <c r="K12" s="197"/>
      <c r="L12" s="197"/>
      <c r="M12" s="197"/>
      <c r="N12" s="333"/>
      <c r="O12" s="212" t="s">
        <v>164</v>
      </c>
      <c r="P12" s="197"/>
      <c r="Q12" s="197"/>
      <c r="R12" s="214">
        <f ca="1">J37</f>
        <v>45.765536613197035</v>
      </c>
      <c r="W12" s="298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</row>
    <row r="13" spans="1:33" ht="15.75" customHeight="1">
      <c r="A13" s="197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334"/>
      <c r="O13" s="215" t="s">
        <v>165</v>
      </c>
      <c r="P13" s="200"/>
      <c r="Q13" s="200"/>
      <c r="R13" s="216">
        <f ca="1">R12+R11</f>
        <v>333.37391624604277</v>
      </c>
      <c r="W13" s="197"/>
      <c r="X13" s="197"/>
      <c r="Y13" s="433"/>
      <c r="Z13" s="434"/>
      <c r="AA13" s="434"/>
      <c r="AB13" s="434"/>
      <c r="AC13" s="434"/>
      <c r="AD13" s="197"/>
      <c r="AE13" s="197"/>
      <c r="AF13" s="197"/>
      <c r="AG13" s="197"/>
    </row>
    <row r="14" spans="1:33" ht="15.75" customHeight="1">
      <c r="A14" s="197"/>
      <c r="B14" s="197" t="s">
        <v>19</v>
      </c>
      <c r="C14" s="197"/>
      <c r="D14" s="197"/>
      <c r="E14" s="197"/>
      <c r="F14" s="211"/>
      <c r="G14" s="211">
        <f>'Three Statement Model'!H35</f>
        <v>14.8</v>
      </c>
      <c r="H14" s="211">
        <f ca="1">'Three Statement Model'!I35</f>
        <v>20.440000000000001</v>
      </c>
      <c r="I14" s="211">
        <f ca="1">'Three Statement Model'!J35</f>
        <v>21.524999999999999</v>
      </c>
      <c r="J14" s="211">
        <f ca="1">'Three Statement Model'!K35</f>
        <v>19.556999999999999</v>
      </c>
      <c r="K14" s="197"/>
      <c r="L14" s="197"/>
      <c r="M14" s="197"/>
      <c r="N14" s="335"/>
      <c r="O14" s="328" t="s">
        <v>166</v>
      </c>
      <c r="R14" s="329">
        <v>17.2</v>
      </c>
      <c r="W14" s="197"/>
      <c r="X14" s="197"/>
      <c r="Y14" s="434"/>
      <c r="Z14" s="434"/>
      <c r="AA14" s="434"/>
      <c r="AB14" s="434"/>
      <c r="AC14" s="434"/>
      <c r="AD14" s="197"/>
      <c r="AE14" s="197"/>
      <c r="AF14" s="197"/>
      <c r="AG14" s="197"/>
    </row>
    <row r="15" spans="1:33" ht="15.75" customHeight="1">
      <c r="A15" s="197"/>
      <c r="B15" s="197" t="s">
        <v>50</v>
      </c>
      <c r="C15" s="197"/>
      <c r="D15" s="197"/>
      <c r="E15" s="197"/>
      <c r="F15" s="211"/>
      <c r="G15" s="211">
        <f>'Three Statement Model'!H37</f>
        <v>2.7</v>
      </c>
      <c r="H15" s="211">
        <f>'Three Statement Model'!I37</f>
        <v>3</v>
      </c>
      <c r="I15" s="211">
        <f>'Three Statement Model'!J37</f>
        <v>3.3</v>
      </c>
      <c r="J15" s="211">
        <f>'Three Statement Model'!K37</f>
        <v>3.6</v>
      </c>
      <c r="K15" s="197"/>
      <c r="L15" s="197"/>
      <c r="M15" s="197"/>
      <c r="N15" s="333"/>
      <c r="O15" s="212" t="s">
        <v>167</v>
      </c>
      <c r="P15" s="197"/>
      <c r="Q15" s="197"/>
      <c r="R15" s="342">
        <v>10</v>
      </c>
      <c r="W15" s="197"/>
      <c r="X15" s="197"/>
      <c r="Y15" s="217"/>
      <c r="Z15" s="197"/>
      <c r="AA15" s="197"/>
      <c r="AB15" s="197"/>
      <c r="AC15" s="197"/>
      <c r="AD15" s="197"/>
      <c r="AE15" s="197"/>
      <c r="AF15" s="197"/>
      <c r="AG15" s="197"/>
    </row>
    <row r="16" spans="1:33" ht="15.75" customHeight="1">
      <c r="A16" s="197"/>
      <c r="B16" s="197" t="s">
        <v>23</v>
      </c>
      <c r="C16" s="197"/>
      <c r="D16" s="197"/>
      <c r="E16" s="197"/>
      <c r="F16" s="211"/>
      <c r="G16" s="211">
        <f>'Three Statement Model'!H36</f>
        <v>0</v>
      </c>
      <c r="H16" s="211">
        <f ca="1">'Three Statement Model'!I36</f>
        <v>0.61320000000000008</v>
      </c>
      <c r="I16" s="211">
        <f ca="1">'Three Statement Model'!J36</f>
        <v>0.73799999999999999</v>
      </c>
      <c r="J16" s="211">
        <f ca="1">'Three Statement Model'!K36</f>
        <v>0.78227999999999998</v>
      </c>
      <c r="K16" s="197"/>
      <c r="L16" s="197"/>
      <c r="M16" s="197"/>
      <c r="N16" s="334"/>
      <c r="O16" s="215" t="s">
        <v>168</v>
      </c>
      <c r="P16" s="200"/>
      <c r="Q16" s="200"/>
      <c r="R16" s="216">
        <f ca="1">R15-R14+R13</f>
        <v>326.17391624604278</v>
      </c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</row>
    <row r="17" spans="1:33" ht="15.75" customHeight="1">
      <c r="A17" s="197"/>
      <c r="B17" s="279" t="s">
        <v>169</v>
      </c>
      <c r="C17" s="279"/>
      <c r="D17" s="279"/>
      <c r="E17" s="279"/>
      <c r="F17" s="280"/>
      <c r="G17" s="344">
        <f>G11-SUM(G14:G16)</f>
        <v>6.3999999999999986</v>
      </c>
      <c r="H17" s="280">
        <f ca="1">H11-SUM(H14:H16)</f>
        <v>9.1618000000000031</v>
      </c>
      <c r="I17" s="280">
        <f ca="1">I11-SUM(I14:I16)</f>
        <v>17.486999999999998</v>
      </c>
      <c r="J17" s="280">
        <f ca="1">J11-SUM(J14:J16)</f>
        <v>21.693719999999995</v>
      </c>
      <c r="K17" s="197"/>
      <c r="L17" s="197"/>
      <c r="M17" s="197"/>
      <c r="N17" s="333"/>
      <c r="O17" s="212" t="s">
        <v>170</v>
      </c>
      <c r="P17" s="197"/>
      <c r="Q17" s="197"/>
      <c r="R17" s="258">
        <v>251.6</v>
      </c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</row>
    <row r="18" spans="1:33" ht="15.75" customHeight="1">
      <c r="A18" s="197"/>
      <c r="B18" s="198" t="s">
        <v>163</v>
      </c>
      <c r="C18" s="197"/>
      <c r="D18" s="197"/>
      <c r="E18" s="197"/>
      <c r="F18" s="218"/>
      <c r="G18" s="218">
        <f>G17/G7</f>
        <v>8.2051282051282037E-2</v>
      </c>
      <c r="H18" s="218">
        <f ca="1">H17/H7</f>
        <v>8.9645792563600807E-2</v>
      </c>
      <c r="I18" s="218">
        <f ca="1">I17/I7</f>
        <v>0.14217073170731706</v>
      </c>
      <c r="J18" s="218">
        <f ca="1">J17/J7</f>
        <v>0.16638840312931427</v>
      </c>
      <c r="K18" s="197"/>
      <c r="L18" s="197"/>
      <c r="M18" s="197"/>
      <c r="N18" s="334"/>
      <c r="O18" s="215" t="s">
        <v>171</v>
      </c>
      <c r="P18" s="200"/>
      <c r="Q18" s="200"/>
      <c r="R18" s="330">
        <f ca="1">R16/R17</f>
        <v>1.296398713219566</v>
      </c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</row>
    <row r="19" spans="1:33" ht="15.75" customHeight="1">
      <c r="A19" s="197"/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335"/>
      <c r="O19" s="339" t="s">
        <v>228</v>
      </c>
      <c r="P19" s="340"/>
      <c r="Q19" s="340"/>
      <c r="R19" s="341">
        <f ca="1">(R18-WACC!E10)/WACC!E10</f>
        <v>0.47318035593132501</v>
      </c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</row>
    <row r="20" spans="1:33" ht="15.75" customHeight="1">
      <c r="A20" s="197"/>
      <c r="B20" s="197" t="s">
        <v>101</v>
      </c>
      <c r="C20" s="197"/>
      <c r="D20" s="197"/>
      <c r="E20" s="197"/>
      <c r="F20" s="211"/>
      <c r="G20" s="211">
        <f>'Three Statement Model'!H52</f>
        <v>-0.6</v>
      </c>
      <c r="H20" s="211">
        <f ca="1">'Three Statement Model'!I52</f>
        <v>1.1031215000000005</v>
      </c>
      <c r="I20" s="211">
        <f ca="1">'Three Statement Model'!J52</f>
        <v>2.4937031249999992</v>
      </c>
      <c r="J20" s="211">
        <f ca="1">'Three Statement Model'!K52</f>
        <v>3.3110951999999991</v>
      </c>
      <c r="K20" s="197"/>
      <c r="L20" s="197"/>
      <c r="M20" s="197"/>
      <c r="N20" s="333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</row>
    <row r="21" spans="1:33" ht="15.75" customHeight="1">
      <c r="A21" s="197"/>
      <c r="B21" s="198" t="s">
        <v>54</v>
      </c>
      <c r="C21" s="198"/>
      <c r="D21" s="219"/>
      <c r="E21" s="198"/>
      <c r="F21" s="204"/>
      <c r="G21" s="204">
        <f>G20/G17</f>
        <v>-9.3750000000000014E-2</v>
      </c>
      <c r="H21" s="204">
        <f t="shared" ref="H21:J21" ca="1" si="1">H20/H17</f>
        <v>0.1204044510903971</v>
      </c>
      <c r="I21" s="204">
        <f t="shared" ca="1" si="1"/>
        <v>0.14260325527534737</v>
      </c>
      <c r="J21" s="204">
        <f t="shared" ca="1" si="1"/>
        <v>0.15262920329016877</v>
      </c>
      <c r="K21" s="197"/>
      <c r="L21" s="197"/>
      <c r="M21" s="197"/>
      <c r="N21" s="337"/>
      <c r="O21" s="337"/>
      <c r="P21" s="337"/>
      <c r="Q21" s="337"/>
      <c r="R21" s="337"/>
      <c r="S21" s="337"/>
      <c r="T21" s="337"/>
      <c r="U21" s="337"/>
      <c r="V21" s="33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</row>
    <row r="22" spans="1:33" ht="15.75" customHeight="1">
      <c r="A22" s="197"/>
      <c r="B22" s="279" t="s">
        <v>172</v>
      </c>
      <c r="C22" s="279"/>
      <c r="D22" s="282"/>
      <c r="E22" s="279"/>
      <c r="F22" s="280"/>
      <c r="G22" s="344">
        <f>G17-G20</f>
        <v>6.9999999999999982</v>
      </c>
      <c r="H22" s="280">
        <f ca="1">H17-H20</f>
        <v>8.0586785000000027</v>
      </c>
      <c r="I22" s="280">
        <f ca="1">I17-I20</f>
        <v>14.993296874999999</v>
      </c>
      <c r="J22" s="280">
        <f ca="1">J17-J20</f>
        <v>18.382624799999995</v>
      </c>
      <c r="K22" s="197"/>
      <c r="L22" s="197"/>
      <c r="M22" s="197"/>
      <c r="N22" s="331"/>
      <c r="O22" s="332"/>
      <c r="P22" s="332"/>
      <c r="Q22" s="332"/>
      <c r="R22" s="332"/>
      <c r="S22" s="332"/>
      <c r="T22" s="332"/>
      <c r="U22" s="332"/>
      <c r="V22" s="332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</row>
    <row r="23" spans="1:33" ht="15.75" customHeight="1">
      <c r="A23" s="197"/>
      <c r="B23" s="198" t="s">
        <v>163</v>
      </c>
      <c r="C23" s="198"/>
      <c r="D23" s="198"/>
      <c r="E23" s="198"/>
      <c r="F23" s="220"/>
      <c r="G23" s="220">
        <f>G22/G7</f>
        <v>8.9743589743589716E-2</v>
      </c>
      <c r="H23" s="220">
        <f t="shared" ref="H23:J23" ca="1" si="2">H22/H7</f>
        <v>7.8852040117416852E-2</v>
      </c>
      <c r="I23" s="220">
        <f t="shared" ca="1" si="2"/>
        <v>0.1218967225609756</v>
      </c>
      <c r="J23" s="220">
        <f t="shared" ca="1" si="2"/>
        <v>0.14099267372296362</v>
      </c>
      <c r="K23" s="197"/>
      <c r="L23" s="197"/>
      <c r="M23" s="197"/>
      <c r="N23" s="333"/>
      <c r="O23" s="333"/>
      <c r="P23" s="333"/>
      <c r="Q23" s="333"/>
      <c r="R23" s="333"/>
      <c r="S23" s="333"/>
      <c r="T23" s="333"/>
      <c r="U23" s="333"/>
      <c r="V23" s="338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</row>
    <row r="24" spans="1:33" ht="15.75" customHeight="1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333"/>
      <c r="O24" s="333"/>
      <c r="P24" s="333"/>
      <c r="Q24" s="333"/>
      <c r="R24" s="333"/>
      <c r="S24" s="333"/>
      <c r="T24" s="333"/>
      <c r="U24" s="333"/>
      <c r="V24" s="338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</row>
    <row r="25" spans="1:33" ht="15.75" customHeight="1">
      <c r="A25" s="197"/>
      <c r="B25" s="197" t="s">
        <v>173</v>
      </c>
      <c r="C25" s="197"/>
      <c r="D25" s="197"/>
      <c r="E25" s="197"/>
      <c r="F25" s="211"/>
      <c r="G25" s="211">
        <f>G15</f>
        <v>2.7</v>
      </c>
      <c r="H25" s="211">
        <f>H15</f>
        <v>3</v>
      </c>
      <c r="I25" s="211">
        <f>I15</f>
        <v>3.3</v>
      </c>
      <c r="J25" s="211">
        <f>J15</f>
        <v>3.6</v>
      </c>
      <c r="K25" s="197"/>
      <c r="L25" s="197"/>
      <c r="M25" s="197"/>
      <c r="N25" s="334"/>
      <c r="O25" s="334"/>
      <c r="P25" s="334"/>
      <c r="Q25" s="334"/>
      <c r="R25" s="334"/>
      <c r="S25" s="334"/>
      <c r="T25" s="334"/>
      <c r="U25" s="334"/>
      <c r="V25" s="336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</row>
    <row r="26" spans="1:33" ht="15.75" customHeight="1">
      <c r="A26" s="197"/>
      <c r="B26" s="197" t="s">
        <v>174</v>
      </c>
      <c r="C26" s="197"/>
      <c r="D26" s="197"/>
      <c r="E26" s="197"/>
      <c r="F26" s="211"/>
      <c r="G26" s="211">
        <f>-'Three Statement Model'!H117</f>
        <v>0.5</v>
      </c>
      <c r="H26" s="211">
        <f ca="1">-'Three Statement Model'!I117</f>
        <v>1.5329999999999999</v>
      </c>
      <c r="I26" s="211">
        <f ca="1">-'Three Statement Model'!J117</f>
        <v>1.845</v>
      </c>
      <c r="J26" s="211">
        <f ca="1">-'Three Statement Model'!K117</f>
        <v>1.9556999999999998</v>
      </c>
      <c r="K26" s="211"/>
      <c r="L26" s="197"/>
      <c r="M26" s="197"/>
      <c r="N26" s="333"/>
      <c r="O26" s="333"/>
      <c r="P26" s="333"/>
      <c r="Q26" s="333"/>
      <c r="R26" s="333"/>
      <c r="S26" s="333"/>
      <c r="T26" s="333"/>
      <c r="U26" s="333"/>
      <c r="V26" s="333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</row>
    <row r="27" spans="1:33" ht="15.75" customHeight="1">
      <c r="A27" s="197"/>
      <c r="B27" s="197" t="s">
        <v>175</v>
      </c>
      <c r="C27" s="197"/>
      <c r="D27" s="197"/>
      <c r="E27" s="197"/>
      <c r="F27" s="211"/>
      <c r="G27" s="211">
        <f xml:space="preserve"> ('Three Statement Model'!H69-'Three Statement Model'!H84) - ('Three Statement Model'!G69-'Three Statement Model'!G84)</f>
        <v>14.89999999999999</v>
      </c>
      <c r="H27" s="211">
        <f ca="1" xml:space="preserve"> ('Three Statement Model'!I69-'Three Statement Model'!I84) - ('Three Statement Model'!H69-'Three Statement Model'!H84)</f>
        <v>-4.0166988046115932</v>
      </c>
      <c r="I27" s="211">
        <f ca="1" xml:space="preserve"> ('Three Statement Model'!J69-'Three Statement Model'!J84) - ('Three Statement Model'!I69-'Three Statement Model'!I84)</f>
        <v>4.4506855456715897</v>
      </c>
      <c r="J27" s="211">
        <f ca="1" xml:space="preserve"> ('Three Statement Model'!K69-'Three Statement Model'!K84) - ('Three Statement Model'!J69-'Three Statement Model'!J84)</f>
        <v>11.736064231963582</v>
      </c>
      <c r="K27"/>
      <c r="L27" s="197"/>
      <c r="M27" s="197"/>
      <c r="N27" s="333"/>
      <c r="O27" s="333"/>
      <c r="P27" s="333"/>
      <c r="Q27" s="333"/>
      <c r="R27" s="333"/>
      <c r="S27" s="333"/>
      <c r="T27" s="333"/>
      <c r="U27" s="333"/>
      <c r="V27" s="333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</row>
    <row r="28" spans="1:33" ht="15.75" customHeight="1">
      <c r="A28" s="197"/>
      <c r="B28" s="197" t="s">
        <v>176</v>
      </c>
      <c r="C28" s="197"/>
      <c r="D28" s="197"/>
      <c r="E28" s="197"/>
      <c r="F28" s="290"/>
      <c r="G28" s="211"/>
      <c r="H28" s="211"/>
      <c r="I28" s="211"/>
      <c r="J28" s="211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</row>
    <row r="29" spans="1:33" ht="15.75" customHeight="1">
      <c r="A29" s="197"/>
      <c r="B29" s="279" t="s">
        <v>177</v>
      </c>
      <c r="C29" s="279"/>
      <c r="D29" s="279"/>
      <c r="E29" s="279"/>
      <c r="F29" s="280"/>
      <c r="G29" s="344">
        <f>G22+G25-G26-G27</f>
        <v>-5.6999999999999904</v>
      </c>
      <c r="H29" s="280">
        <f ca="1">H22+H25-H26+H27</f>
        <v>5.50897969538841</v>
      </c>
      <c r="I29" s="280">
        <f ca="1">I22+I25-I26+I27</f>
        <v>20.89898242067159</v>
      </c>
      <c r="J29" s="280">
        <f ca="1">J22+J25-J26+J27</f>
        <v>31.762989031963578</v>
      </c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</row>
    <row r="30" spans="1:33" ht="15.75" customHeight="1">
      <c r="A30" s="197"/>
      <c r="B30" s="198" t="s">
        <v>163</v>
      </c>
      <c r="C30" s="197"/>
      <c r="D30" s="197"/>
      <c r="E30" s="197"/>
      <c r="F30" s="218"/>
      <c r="G30" s="218">
        <f>G29/G7</f>
        <v>-7.3076923076922956E-2</v>
      </c>
      <c r="H30" s="218">
        <f ca="1">H29/H7</f>
        <v>5.3903910913780918E-2</v>
      </c>
      <c r="I30" s="218">
        <f ca="1">I29/I7</f>
        <v>0.16991042618432187</v>
      </c>
      <c r="J30" s="218">
        <f ca="1">J29/J7</f>
        <v>0.2436185690440526</v>
      </c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</row>
    <row r="31" spans="1:33" ht="15.75" customHeight="1">
      <c r="A31" s="19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</row>
    <row r="32" spans="1:33" ht="15.75" customHeight="1">
      <c r="A32" s="197"/>
      <c r="B32" s="217" t="s">
        <v>178</v>
      </c>
      <c r="C32" s="197"/>
      <c r="D32" s="300">
        <f>WACC!$J$23</f>
        <v>0.10376932877355327</v>
      </c>
      <c r="E32" s="197"/>
      <c r="F32" s="221"/>
      <c r="G32" s="221">
        <f t="shared" ref="G32" si="3">$D$32</f>
        <v>0.10376932877355327</v>
      </c>
      <c r="H32" s="221">
        <f>$D$32</f>
        <v>0.10376932877355327</v>
      </c>
      <c r="I32" s="221">
        <f>$D$32</f>
        <v>0.10376932877355327</v>
      </c>
      <c r="J32" s="221">
        <f>$D$32</f>
        <v>0.10376932877355327</v>
      </c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</row>
    <row r="33" spans="1:33" ht="15.75" customHeight="1">
      <c r="A33" s="197"/>
      <c r="B33" s="197" t="s">
        <v>179</v>
      </c>
      <c r="C33" s="197"/>
      <c r="D33" s="197"/>
      <c r="E33" s="197"/>
      <c r="F33" s="222"/>
      <c r="G33" s="222">
        <v>0</v>
      </c>
      <c r="H33" s="222">
        <v>1</v>
      </c>
      <c r="I33" s="222">
        <v>2</v>
      </c>
      <c r="J33" s="222">
        <v>3</v>
      </c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</row>
    <row r="34" spans="1:33" ht="15.75" customHeight="1">
      <c r="A34" s="197"/>
      <c r="B34" s="197" t="s">
        <v>160</v>
      </c>
      <c r="C34" s="197"/>
      <c r="D34" s="197"/>
      <c r="E34" s="197"/>
      <c r="F34" s="222"/>
      <c r="G34" s="222">
        <f t="shared" ref="G34" si="4">1/(1+G32)^G33</f>
        <v>1</v>
      </c>
      <c r="H34" s="222">
        <f>1/(1+H32)^H33</f>
        <v>0.90598639945100123</v>
      </c>
      <c r="I34" s="222">
        <f>1/(1+I32)^I33</f>
        <v>0.82081135599018928</v>
      </c>
      <c r="J34" s="222">
        <f>1/(1+J32)^J33</f>
        <v>0.74364392504204568</v>
      </c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</row>
    <row r="35" spans="1:33" ht="15.75" customHeight="1">
      <c r="A35" s="197"/>
      <c r="B35" s="279" t="s">
        <v>180</v>
      </c>
      <c r="C35" s="279"/>
      <c r="D35" s="279"/>
      <c r="E35" s="279"/>
      <c r="F35" s="280"/>
      <c r="G35" s="344">
        <f t="shared" ref="G35" si="5">G29*G34</f>
        <v>-5.6999999999999904</v>
      </c>
      <c r="H35" s="281">
        <f ca="1">H29*H34</f>
        <v>4.9910606788736196</v>
      </c>
      <c r="I35" s="281">
        <f ca="1">I29*I34</f>
        <v>17.154122099526575</v>
      </c>
      <c r="J35" s="281">
        <f ca="1">J29*J34</f>
        <v>23.620353834796841</v>
      </c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</row>
    <row r="36" spans="1:33" ht="15.75" customHeight="1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</row>
    <row r="37" spans="1:33" ht="15.75" customHeight="1">
      <c r="A37" s="197"/>
      <c r="B37" s="223" t="s">
        <v>181</v>
      </c>
      <c r="C37" s="224"/>
      <c r="D37" s="224"/>
      <c r="E37" s="224"/>
      <c r="F37" s="224"/>
      <c r="G37" s="224"/>
      <c r="H37" s="224"/>
      <c r="I37" s="224"/>
      <c r="J37" s="225">
        <f ca="1">SUM(H35:J35)</f>
        <v>45.765536613197035</v>
      </c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</row>
    <row r="38" spans="1:33" ht="15.75" customHeight="1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</row>
    <row r="39" spans="1:33" ht="15.75" customHeight="1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</row>
    <row r="40" spans="1:33" ht="15.75" customHeight="1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</row>
    <row r="41" spans="1:33" ht="15.75" customHeight="1">
      <c r="A41" s="197"/>
      <c r="B41" s="435" t="s">
        <v>182</v>
      </c>
      <c r="C41" s="436"/>
      <c r="D41" s="436"/>
      <c r="E41" s="436"/>
      <c r="F41" s="436"/>
      <c r="G41" s="436"/>
      <c r="H41" s="436"/>
      <c r="I41" s="436"/>
      <c r="J41" s="436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</row>
    <row r="42" spans="1:33" ht="15.75" customHeight="1">
      <c r="A42" s="197"/>
      <c r="B42" s="197"/>
      <c r="C42" s="197"/>
      <c r="D42" s="437" t="s">
        <v>183</v>
      </c>
      <c r="E42" s="438"/>
      <c r="F42" s="438"/>
      <c r="G42" s="438"/>
      <c r="H42" s="438"/>
      <c r="I42" s="438"/>
      <c r="J42" s="438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</row>
    <row r="43" spans="1:33" ht="15.75" customHeight="1">
      <c r="A43" s="197"/>
      <c r="B43" s="197"/>
      <c r="C43" s="264">
        <f ca="1">R16/R17</f>
        <v>1.296398713219566</v>
      </c>
      <c r="D43" s="262">
        <v>1.2500000000000001E-2</v>
      </c>
      <c r="E43" s="262">
        <v>1.4999999999999999E-2</v>
      </c>
      <c r="F43" s="262">
        <v>1.7500000000000002E-2</v>
      </c>
      <c r="G43" s="263">
        <v>0.02</v>
      </c>
      <c r="H43" s="262">
        <v>2.2499999999999999E-2</v>
      </c>
      <c r="I43" s="262">
        <v>2.5000000000000001E-2</v>
      </c>
      <c r="J43" s="262">
        <v>2.75E-2</v>
      </c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</row>
    <row r="44" spans="1:33" ht="15.75" customHeight="1">
      <c r="A44" s="197"/>
      <c r="B44" s="439" t="s">
        <v>178</v>
      </c>
      <c r="C44" s="311">
        <v>7.6999999999999999E-2</v>
      </c>
      <c r="D44" s="345">
        <f t="dataTable" ref="D44:J50" dt2D="1" dtr="1" r1="R8" r2="D32" ca="1"/>
        <v>1.7507311190074792</v>
      </c>
      <c r="E44" s="346">
        <v>1.8187716862822414</v>
      </c>
      <c r="F44" s="346">
        <v>1.8925299482859761</v>
      </c>
      <c r="G44" s="346">
        <v>1.972758233272494</v>
      </c>
      <c r="H44" s="346">
        <v>2.0603469113770405</v>
      </c>
      <c r="I44" s="346">
        <v>2.1563575777608706</v>
      </c>
      <c r="J44" s="347">
        <v>2.2620662912541789</v>
      </c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</row>
    <row r="45" spans="1:33" ht="15.75" customHeight="1">
      <c r="A45" s="197"/>
      <c r="B45" s="434"/>
      <c r="C45" s="311">
        <v>8.2000000000000003E-2</v>
      </c>
      <c r="D45" s="348">
        <v>1.6141408872108491</v>
      </c>
      <c r="E45" s="349">
        <v>1.6720352939166556</v>
      </c>
      <c r="F45" s="350">
        <v>1.7344176391267889</v>
      </c>
      <c r="G45" s="350">
        <v>1.8018308186280614</v>
      </c>
      <c r="H45" s="350">
        <v>1.8749089711966678</v>
      </c>
      <c r="I45" s="351">
        <v>1.9543974880256783</v>
      </c>
      <c r="J45" s="352">
        <v>2.0411785293344149</v>
      </c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</row>
    <row r="46" spans="1:33" ht="15.75" customHeight="1">
      <c r="A46" s="197"/>
      <c r="B46" s="434"/>
      <c r="C46" s="311">
        <v>8.6999999999999994E-2</v>
      </c>
      <c r="D46" s="348">
        <v>1.4959790874445342</v>
      </c>
      <c r="E46" s="353">
        <v>1.5457760529913909</v>
      </c>
      <c r="F46" s="354">
        <v>1.5991555340452166</v>
      </c>
      <c r="G46" s="355">
        <v>1.6565185584612676</v>
      </c>
      <c r="H46" s="356">
        <v>1.7183283289560822</v>
      </c>
      <c r="I46" s="357">
        <v>1.7851227583617688</v>
      </c>
      <c r="J46" s="352">
        <v>1.8575301650284379</v>
      </c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</row>
    <row r="47" spans="1:33" ht="15.75" customHeight="1">
      <c r="A47" s="197"/>
      <c r="B47" s="434"/>
      <c r="C47" s="311">
        <f>WACC!$J$23</f>
        <v>0.10376932877355327</v>
      </c>
      <c r="D47" s="348">
        <v>1.1947491643765797</v>
      </c>
      <c r="E47" s="353">
        <v>1.2267238512583261</v>
      </c>
      <c r="F47" s="358">
        <v>1.2605517278736842</v>
      </c>
      <c r="G47" s="359">
        <v>1.296398713219566</v>
      </c>
      <c r="H47" s="360">
        <v>1.3344511422357013</v>
      </c>
      <c r="I47" s="357">
        <v>1.3749190056352838</v>
      </c>
      <c r="J47" s="352">
        <v>1.4180398269178274</v>
      </c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</row>
    <row r="48" spans="1:33" ht="15.75" customHeight="1">
      <c r="A48" s="197"/>
      <c r="B48" s="434"/>
      <c r="C48" s="311">
        <v>9.7000000000000003E-2</v>
      </c>
      <c r="D48" s="348">
        <v>1.3018499841414528</v>
      </c>
      <c r="E48" s="353">
        <v>1.3397000744502516</v>
      </c>
      <c r="F48" s="361">
        <v>1.3799306735835037</v>
      </c>
      <c r="G48" s="362">
        <v>1.4227736492838499</v>
      </c>
      <c r="H48" s="363">
        <v>1.4684919924808635</v>
      </c>
      <c r="I48" s="357">
        <v>1.5173852206221139</v>
      </c>
      <c r="J48" s="352">
        <v>1.569795947190793</v>
      </c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</row>
    <row r="49" spans="1:33" ht="15.75" customHeight="1">
      <c r="A49" s="197"/>
      <c r="B49" s="434"/>
      <c r="C49" s="311">
        <v>0.10199999999999999</v>
      </c>
      <c r="D49" s="348">
        <v>1.221165674284596</v>
      </c>
      <c r="E49" s="364">
        <v>1.2545425175680787</v>
      </c>
      <c r="F49" s="365">
        <v>1.289894321992596</v>
      </c>
      <c r="G49" s="365">
        <v>1.3274017242478766</v>
      </c>
      <c r="H49" s="365">
        <v>1.3672680826198416</v>
      </c>
      <c r="I49" s="366">
        <v>1.4097231655614142</v>
      </c>
      <c r="J49" s="352">
        <v>1.4550275829285959</v>
      </c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</row>
    <row r="50" spans="1:33" ht="15.75" customHeight="1">
      <c r="A50" s="197"/>
      <c r="B50" s="197"/>
      <c r="C50" s="311">
        <v>0.107</v>
      </c>
      <c r="D50" s="367">
        <v>1.1490888208378809</v>
      </c>
      <c r="E50" s="368">
        <v>1.1787122860538708</v>
      </c>
      <c r="F50" s="368">
        <v>1.2099906934606983</v>
      </c>
      <c r="G50" s="368">
        <v>1.243066710488608</v>
      </c>
      <c r="H50" s="368">
        <v>1.2780998882873995</v>
      </c>
      <c r="I50" s="368">
        <v>1.315269235464166</v>
      </c>
      <c r="J50" s="369">
        <v>1.3547762774319245</v>
      </c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</row>
    <row r="51" spans="1:33" ht="15.75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</row>
    <row r="52" spans="1:33" ht="15.75" customHeight="1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</row>
    <row r="53" spans="1:33" ht="15.75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</row>
    <row r="54" spans="1:33" ht="15.75" customHeight="1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</row>
    <row r="55" spans="1:33" ht="15.75" customHeight="1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</row>
    <row r="56" spans="1:33" ht="15.75" customHeight="1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</row>
    <row r="57" spans="1:33" ht="15.75" customHeight="1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</row>
    <row r="58" spans="1:33" ht="15.75" customHeight="1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</row>
    <row r="59" spans="1:33" ht="15.75" customHeight="1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</row>
    <row r="60" spans="1:33" ht="15.75" customHeigh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</row>
    <row r="61" spans="1:33" ht="15.75" customHeight="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</row>
    <row r="62" spans="1:33" ht="15.75" customHeight="1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</row>
    <row r="63" spans="1:33" ht="15.75" customHeight="1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</row>
    <row r="64" spans="1:33" ht="15.75" customHeight="1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</row>
    <row r="65" spans="1:33" ht="15.75" customHeight="1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</row>
    <row r="66" spans="1:33" ht="15.75" customHeight="1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</row>
    <row r="67" spans="1:33" ht="15.75" customHeight="1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</row>
    <row r="68" spans="1:33" ht="15.75" customHeight="1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</row>
    <row r="69" spans="1:33" ht="15.75" customHeight="1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</row>
    <row r="70" spans="1:33" ht="15.75" customHeight="1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</row>
    <row r="71" spans="1:33" ht="15.75" customHeight="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</row>
    <row r="72" spans="1:33" ht="15.75" customHeight="1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</row>
    <row r="73" spans="1:33" ht="15.75" customHeight="1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</row>
    <row r="74" spans="1:33" ht="15.75" customHeight="1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</row>
    <row r="75" spans="1:33" ht="15.75" customHeigh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</row>
    <row r="76" spans="1:33" ht="15.75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</row>
    <row r="77" spans="1:33" ht="15.75" customHeigh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</row>
    <row r="78" spans="1:33" ht="15.75" customHeight="1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</row>
    <row r="79" spans="1:33" ht="15.75" customHeight="1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</row>
    <row r="80" spans="1:33" ht="15.75" customHeight="1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</row>
    <row r="81" spans="1:33" ht="15.75" customHeight="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</row>
    <row r="82" spans="1:33" ht="15.75" customHeight="1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</row>
    <row r="83" spans="1:33" ht="15.75" customHeight="1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</row>
    <row r="84" spans="1:33" ht="15.75" customHeight="1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</row>
    <row r="85" spans="1:33" ht="15.75" customHeight="1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</row>
    <row r="86" spans="1:33" ht="15.75" customHeight="1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</row>
    <row r="87" spans="1:33" ht="15.75" customHeight="1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</row>
    <row r="88" spans="1:33" ht="15.75" customHeight="1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</row>
    <row r="89" spans="1:33" ht="15.75" customHeight="1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</row>
    <row r="90" spans="1:33" ht="15.75" customHeight="1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</row>
    <row r="91" spans="1:33" ht="15.75" customHeight="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</row>
    <row r="92" spans="1:33" ht="15.75" customHeight="1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</row>
    <row r="93" spans="1:33" ht="15.75" customHeight="1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</row>
    <row r="94" spans="1:33" ht="15.75" customHeight="1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</row>
    <row r="95" spans="1:33" ht="15.75" customHeight="1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</row>
    <row r="96" spans="1:33" ht="15.75" customHeight="1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</row>
    <row r="97" spans="1:33" ht="15.75" customHeight="1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</row>
    <row r="98" spans="1:33" ht="15.75" customHeight="1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</row>
    <row r="99" spans="1:33" ht="15.75" customHeight="1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</row>
    <row r="100" spans="1:33" ht="15.75" customHeight="1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</row>
    <row r="101" spans="1:33" ht="15.75" customHeight="1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</row>
    <row r="102" spans="1:33" ht="15.75" customHeight="1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</row>
    <row r="103" spans="1:33" ht="15.75" customHeight="1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</row>
    <row r="104" spans="1:33" ht="15.75" customHeight="1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</row>
    <row r="105" spans="1:33" ht="15.75" customHeight="1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</row>
    <row r="106" spans="1:33" ht="15.75" customHeight="1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</row>
    <row r="107" spans="1:33" ht="15.75" customHeight="1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</row>
    <row r="108" spans="1:33" ht="15.75" customHeight="1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</row>
    <row r="109" spans="1:33" ht="15.75" customHeight="1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</row>
    <row r="110" spans="1:33" ht="15.75" customHeight="1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</row>
    <row r="111" spans="1:33" ht="15.75" customHeight="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</row>
    <row r="112" spans="1:33" ht="15.75" customHeight="1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</row>
    <row r="113" spans="1:33" ht="15.75" customHeight="1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</row>
    <row r="114" spans="1:33" ht="15.75" customHeight="1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</row>
    <row r="115" spans="1:33" ht="15.75" customHeight="1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</row>
    <row r="116" spans="1:33" ht="15.75" customHeight="1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</row>
    <row r="117" spans="1:33" ht="15.75" customHeight="1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</row>
    <row r="118" spans="1:33" ht="15.75" customHeight="1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</row>
    <row r="119" spans="1:33" ht="15.75" customHeight="1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</row>
    <row r="120" spans="1:33" ht="15.75" customHeight="1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</row>
    <row r="121" spans="1:33" ht="15.75" customHeight="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</row>
    <row r="122" spans="1:33" ht="15.75" customHeight="1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</row>
    <row r="123" spans="1:33" ht="15.75" customHeight="1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</row>
    <row r="124" spans="1:33" ht="15.75" customHeight="1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</row>
    <row r="125" spans="1:33" ht="15.75" customHeight="1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</row>
    <row r="126" spans="1:33" ht="15.75" customHeight="1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</row>
    <row r="127" spans="1:33" ht="15.75" customHeight="1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</row>
    <row r="128" spans="1:33" ht="15.75" customHeight="1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</row>
    <row r="129" spans="1:33" ht="15.75" customHeight="1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</row>
    <row r="130" spans="1:33" ht="15.75" customHeight="1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</row>
    <row r="131" spans="1:33" ht="15.75" customHeight="1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</row>
    <row r="132" spans="1:33" ht="15.75" customHeight="1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</row>
    <row r="133" spans="1:33" ht="15.75" customHeight="1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</row>
    <row r="134" spans="1:33" ht="15.75" customHeight="1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</row>
    <row r="135" spans="1:33" ht="15.75" customHeight="1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</row>
    <row r="136" spans="1:33" ht="15.75" customHeight="1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</row>
    <row r="137" spans="1:33" ht="15.75" customHeight="1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</row>
    <row r="138" spans="1:33" ht="15.75" customHeight="1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</row>
    <row r="139" spans="1:33" ht="15.75" customHeight="1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</row>
    <row r="140" spans="1:33" ht="15.75" customHeight="1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</row>
    <row r="141" spans="1:33" ht="15.75" customHeight="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</row>
    <row r="142" spans="1:33" ht="15.75" customHeight="1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</row>
    <row r="143" spans="1:33" ht="15.75" customHeight="1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</row>
    <row r="144" spans="1:33" ht="15.75" customHeight="1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</row>
    <row r="145" spans="1:33" ht="15.75" customHeight="1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</row>
    <row r="146" spans="1:33" ht="15.75" customHeight="1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</row>
    <row r="147" spans="1:33" ht="15.75" customHeight="1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</row>
    <row r="148" spans="1:33" ht="15.75" customHeight="1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</row>
    <row r="149" spans="1:33" ht="15.75" customHeight="1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</row>
    <row r="150" spans="1:33" ht="15.75" customHeight="1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</row>
    <row r="151" spans="1:33" ht="15.75" customHeight="1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</row>
    <row r="152" spans="1:33" ht="15.75" customHeight="1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</row>
    <row r="153" spans="1:33" ht="15.75" customHeight="1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</row>
    <row r="154" spans="1:33" ht="15.75" customHeight="1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</row>
    <row r="155" spans="1:33" ht="15.75" customHeight="1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</row>
    <row r="156" spans="1:33" ht="15.75" customHeight="1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</row>
    <row r="157" spans="1:33" ht="15.75" customHeight="1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</row>
    <row r="158" spans="1:33" ht="15.75" customHeight="1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</row>
    <row r="159" spans="1:33" ht="15.75" customHeight="1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</row>
    <row r="160" spans="1:33" ht="15.75" customHeight="1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</row>
    <row r="161" spans="1:33" ht="15.75" customHeight="1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</row>
    <row r="162" spans="1:33" ht="15.75" customHeight="1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</row>
    <row r="163" spans="1:33" ht="15.75" customHeight="1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</row>
    <row r="164" spans="1:33" ht="15.75" customHeight="1">
      <c r="A164" s="197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</row>
    <row r="165" spans="1:33" ht="15.75" customHeight="1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</row>
    <row r="166" spans="1:33" ht="15.75" customHeight="1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</row>
    <row r="167" spans="1:33" ht="15.75" customHeight="1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</row>
    <row r="168" spans="1:33" ht="15.75" customHeight="1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</row>
    <row r="169" spans="1:33" ht="15.75" customHeight="1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</row>
    <row r="170" spans="1:33" ht="15.75" customHeight="1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</row>
    <row r="171" spans="1:33" ht="15.75" customHeight="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</row>
    <row r="172" spans="1:33" ht="15.75" customHeight="1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</row>
    <row r="173" spans="1:33" ht="15.75" customHeight="1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</row>
    <row r="174" spans="1:33" ht="15.75" customHeight="1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</row>
    <row r="175" spans="1:33" ht="15.75" customHeight="1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</row>
    <row r="176" spans="1:33" ht="15.75" customHeight="1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</row>
    <row r="177" spans="1:33" ht="15.75" customHeight="1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</row>
    <row r="178" spans="1:33" ht="15.75" customHeight="1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</row>
    <row r="179" spans="1:33" ht="15.75" customHeight="1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</row>
    <row r="180" spans="1:33" ht="15.75" customHeight="1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</row>
    <row r="181" spans="1:33" ht="15.75" customHeight="1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</row>
    <row r="182" spans="1:33" ht="15.75" customHeight="1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</row>
    <row r="183" spans="1:33" ht="15.75" customHeight="1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</row>
    <row r="184" spans="1:33" ht="15.75" customHeight="1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</row>
    <row r="185" spans="1:33" ht="15.75" customHeight="1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</row>
    <row r="186" spans="1:33" ht="15.75" customHeight="1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</row>
    <row r="187" spans="1:33" ht="15.75" customHeight="1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</row>
    <row r="188" spans="1:33" ht="15.75" customHeight="1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</row>
    <row r="189" spans="1:33" ht="15.75" customHeight="1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</row>
    <row r="190" spans="1:33" ht="15.75" customHeight="1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</row>
    <row r="191" spans="1:33" ht="15.75" customHeight="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</row>
    <row r="192" spans="1:33" ht="15.75" customHeight="1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</row>
    <row r="193" spans="1:33" ht="15.75" customHeight="1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</row>
    <row r="194" spans="1:33" ht="15.75" customHeight="1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</row>
    <row r="195" spans="1:33" ht="15.75" customHeight="1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</row>
    <row r="196" spans="1:33" ht="15.75" customHeight="1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</row>
    <row r="197" spans="1:33" ht="15.75" customHeight="1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</row>
    <row r="198" spans="1:33" ht="15.75" customHeight="1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</row>
    <row r="199" spans="1:33" ht="15.75" customHeight="1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</row>
    <row r="200" spans="1:33" ht="15.75" customHeight="1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</row>
    <row r="201" spans="1:33" ht="15.75" customHeight="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</row>
    <row r="202" spans="1:33" ht="15.75" customHeight="1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</row>
    <row r="203" spans="1:33" ht="15.75" customHeight="1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</row>
    <row r="204" spans="1:33" ht="15.75" customHeight="1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</row>
    <row r="205" spans="1:33" ht="15.75" customHeight="1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</row>
    <row r="206" spans="1:33" ht="15.75" customHeight="1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</row>
    <row r="207" spans="1:33" ht="15.75" customHeight="1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</row>
    <row r="208" spans="1:33" ht="15.75" customHeight="1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</row>
    <row r="209" spans="1:33" ht="15.75" customHeight="1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</row>
    <row r="210" spans="1:33" ht="15.75" customHeight="1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</row>
    <row r="211" spans="1:33" ht="15.75" customHeight="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</row>
    <row r="212" spans="1:33" ht="15.75" customHeight="1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</row>
    <row r="213" spans="1:33" ht="15.75" customHeight="1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</row>
    <row r="214" spans="1:33" ht="15.75" customHeight="1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</row>
    <row r="215" spans="1:33" ht="15.75" customHeight="1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</row>
    <row r="216" spans="1:33" ht="15.75" customHeight="1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</row>
    <row r="217" spans="1:33" ht="15.75" customHeight="1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</row>
    <row r="218" spans="1:33" ht="15.75" customHeight="1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</row>
    <row r="219" spans="1:33" ht="15.75" customHeight="1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</row>
    <row r="220" spans="1:33" ht="15.75" customHeight="1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</row>
    <row r="221" spans="1:33" ht="15.75" customHeight="1">
      <c r="A221" s="197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</row>
    <row r="222" spans="1:33" ht="15.75" customHeight="1">
      <c r="A222" s="197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</row>
    <row r="223" spans="1:33" ht="15.75" customHeight="1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</row>
    <row r="224" spans="1:33" ht="15.75" customHeight="1">
      <c r="A224" s="197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</row>
    <row r="225" spans="1:33" ht="15.75" customHeight="1">
      <c r="A225" s="197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</row>
    <row r="226" spans="1:33" ht="15.75" customHeight="1">
      <c r="A226" s="197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  <c r="AA226" s="197"/>
      <c r="AB226" s="197"/>
      <c r="AC226" s="197"/>
      <c r="AD226" s="197"/>
      <c r="AE226" s="197"/>
      <c r="AF226" s="197"/>
      <c r="AG226" s="197"/>
    </row>
    <row r="227" spans="1:33" ht="15.75" customHeight="1">
      <c r="A227" s="197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  <c r="AA227" s="197"/>
      <c r="AB227" s="197"/>
      <c r="AC227" s="197"/>
      <c r="AD227" s="197"/>
      <c r="AE227" s="197"/>
      <c r="AF227" s="197"/>
      <c r="AG227" s="197"/>
    </row>
    <row r="228" spans="1:33" ht="15.75" customHeight="1">
      <c r="A228" s="197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  <c r="AA228" s="197"/>
      <c r="AB228" s="197"/>
      <c r="AC228" s="197"/>
      <c r="AD228" s="197"/>
      <c r="AE228" s="197"/>
      <c r="AF228" s="197"/>
      <c r="AG228" s="197"/>
    </row>
    <row r="229" spans="1:33" ht="15.75" customHeight="1">
      <c r="A229" s="197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  <c r="AA229" s="197"/>
      <c r="AB229" s="197"/>
      <c r="AC229" s="197"/>
      <c r="AD229" s="197"/>
      <c r="AE229" s="197"/>
      <c r="AF229" s="197"/>
      <c r="AG229" s="197"/>
    </row>
    <row r="230" spans="1:33" ht="15.75" customHeight="1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  <c r="AA230" s="197"/>
      <c r="AB230" s="197"/>
      <c r="AC230" s="197"/>
      <c r="AD230" s="197"/>
      <c r="AE230" s="197"/>
      <c r="AF230" s="197"/>
      <c r="AG230" s="197"/>
    </row>
    <row r="231" spans="1:33" ht="15.75" customHeight="1">
      <c r="A231" s="197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  <c r="AA231" s="197"/>
      <c r="AB231" s="197"/>
      <c r="AC231" s="197"/>
      <c r="AD231" s="197"/>
      <c r="AE231" s="197"/>
      <c r="AF231" s="197"/>
      <c r="AG231" s="197"/>
    </row>
    <row r="232" spans="1:33" ht="15.75" customHeight="1">
      <c r="A232" s="197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  <c r="AA232" s="197"/>
      <c r="AB232" s="197"/>
      <c r="AC232" s="197"/>
      <c r="AD232" s="197"/>
      <c r="AE232" s="197"/>
      <c r="AF232" s="197"/>
      <c r="AG232" s="197"/>
    </row>
    <row r="233" spans="1:33" ht="15.75" customHeight="1">
      <c r="A233" s="197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  <c r="AA233" s="197"/>
      <c r="AB233" s="197"/>
      <c r="AC233" s="197"/>
      <c r="AD233" s="197"/>
      <c r="AE233" s="197"/>
      <c r="AF233" s="197"/>
      <c r="AG233" s="197"/>
    </row>
    <row r="234" spans="1:33" ht="15.75" customHeight="1">
      <c r="A234" s="197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  <c r="AA234" s="197"/>
      <c r="AB234" s="197"/>
      <c r="AC234" s="197"/>
      <c r="AD234" s="197"/>
      <c r="AE234" s="197"/>
      <c r="AF234" s="197"/>
      <c r="AG234" s="197"/>
    </row>
    <row r="235" spans="1:33" ht="15.75" customHeight="1">
      <c r="A235" s="197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  <c r="AA235" s="197"/>
      <c r="AB235" s="197"/>
      <c r="AC235" s="197"/>
      <c r="AD235" s="197"/>
      <c r="AE235" s="197"/>
      <c r="AF235" s="197"/>
      <c r="AG235" s="197"/>
    </row>
    <row r="236" spans="1:33" ht="15.75" customHeight="1">
      <c r="A236" s="197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  <c r="AA236" s="197"/>
      <c r="AB236" s="197"/>
      <c r="AC236" s="197"/>
      <c r="AD236" s="197"/>
      <c r="AE236" s="197"/>
      <c r="AF236" s="197"/>
      <c r="AG236" s="197"/>
    </row>
    <row r="237" spans="1:33" ht="15.75" customHeight="1">
      <c r="A237" s="197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  <c r="AA237" s="197"/>
      <c r="AB237" s="197"/>
      <c r="AC237" s="197"/>
      <c r="AD237" s="197"/>
      <c r="AE237" s="197"/>
      <c r="AF237" s="197"/>
      <c r="AG237" s="197"/>
    </row>
    <row r="238" spans="1:33" ht="15.75" customHeight="1">
      <c r="A238" s="197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  <c r="AA238" s="197"/>
      <c r="AB238" s="197"/>
      <c r="AC238" s="197"/>
      <c r="AD238" s="197"/>
      <c r="AE238" s="197"/>
      <c r="AF238" s="197"/>
      <c r="AG238" s="197"/>
    </row>
    <row r="239" spans="1:33" ht="15.75" customHeight="1">
      <c r="A239" s="197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  <c r="AA239" s="197"/>
      <c r="AB239" s="197"/>
      <c r="AC239" s="197"/>
      <c r="AD239" s="197"/>
      <c r="AE239" s="197"/>
      <c r="AF239" s="197"/>
      <c r="AG239" s="197"/>
    </row>
    <row r="240" spans="1:33" ht="15.75" customHeight="1">
      <c r="A240" s="197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  <c r="AA240" s="197"/>
      <c r="AB240" s="197"/>
      <c r="AC240" s="197"/>
      <c r="AD240" s="197"/>
      <c r="AE240" s="197"/>
      <c r="AF240" s="197"/>
      <c r="AG240" s="197"/>
    </row>
    <row r="241" spans="1:33" ht="15.75" customHeight="1">
      <c r="A241" s="197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  <c r="AA241" s="197"/>
      <c r="AB241" s="197"/>
      <c r="AC241" s="197"/>
      <c r="AD241" s="197"/>
      <c r="AE241" s="197"/>
      <c r="AF241" s="197"/>
      <c r="AG241" s="197"/>
    </row>
    <row r="242" spans="1:33" ht="15.75" customHeight="1">
      <c r="A242" s="197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  <c r="AA242" s="197"/>
      <c r="AB242" s="197"/>
      <c r="AC242" s="197"/>
      <c r="AD242" s="197"/>
      <c r="AE242" s="197"/>
      <c r="AF242" s="197"/>
      <c r="AG242" s="197"/>
    </row>
    <row r="243" spans="1:33" ht="15.75" customHeight="1">
      <c r="A243" s="197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  <c r="AA243" s="197"/>
      <c r="AB243" s="197"/>
      <c r="AC243" s="197"/>
      <c r="AD243" s="197"/>
      <c r="AE243" s="197"/>
      <c r="AF243" s="197"/>
      <c r="AG243" s="197"/>
    </row>
    <row r="244" spans="1:33" ht="15.75" customHeight="1">
      <c r="A244" s="197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  <c r="AA244" s="197"/>
      <c r="AB244" s="197"/>
      <c r="AC244" s="197"/>
      <c r="AD244" s="197"/>
      <c r="AE244" s="197"/>
      <c r="AF244" s="197"/>
      <c r="AG244" s="197"/>
    </row>
    <row r="245" spans="1:33" ht="15.75" customHeight="1">
      <c r="A245" s="197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</row>
    <row r="246" spans="1:33" ht="15.75" customHeight="1">
      <c r="A246" s="197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  <c r="AA246" s="197"/>
      <c r="AB246" s="197"/>
      <c r="AC246" s="197"/>
      <c r="AD246" s="197"/>
      <c r="AE246" s="197"/>
      <c r="AF246" s="197"/>
      <c r="AG246" s="197"/>
    </row>
    <row r="247" spans="1:33" ht="15.75" customHeight="1">
      <c r="A247" s="197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  <c r="AA247" s="197"/>
      <c r="AB247" s="197"/>
      <c r="AC247" s="197"/>
      <c r="AD247" s="197"/>
      <c r="AE247" s="197"/>
      <c r="AF247" s="197"/>
      <c r="AG247" s="197"/>
    </row>
    <row r="248" spans="1:33" ht="15.75" customHeight="1">
      <c r="A248" s="197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  <c r="AA248" s="197"/>
      <c r="AB248" s="197"/>
      <c r="AC248" s="197"/>
      <c r="AD248" s="197"/>
      <c r="AE248" s="197"/>
      <c r="AF248" s="197"/>
      <c r="AG248" s="197"/>
    </row>
    <row r="249" spans="1:33" ht="15.75" customHeight="1">
      <c r="A249" s="197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  <c r="AA249" s="197"/>
      <c r="AB249" s="197"/>
      <c r="AC249" s="197"/>
      <c r="AD249" s="197"/>
      <c r="AE249" s="197"/>
      <c r="AF249" s="197"/>
      <c r="AG249" s="197"/>
    </row>
    <row r="250" spans="1:33" ht="15.75" customHeight="1">
      <c r="A250" s="197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  <c r="AA250" s="197"/>
      <c r="AB250" s="197"/>
      <c r="AC250" s="197"/>
      <c r="AD250" s="197"/>
      <c r="AE250" s="197"/>
      <c r="AF250" s="197"/>
      <c r="AG250" s="197"/>
    </row>
    <row r="251" spans="1:33" ht="15.75" customHeight="1">
      <c r="A251" s="197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  <c r="AA251" s="197"/>
      <c r="AB251" s="197"/>
      <c r="AC251" s="197"/>
      <c r="AD251" s="197"/>
      <c r="AE251" s="197"/>
      <c r="AF251" s="197"/>
      <c r="AG251" s="197"/>
    </row>
    <row r="252" spans="1:33" ht="15.75" customHeight="1">
      <c r="A252" s="197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  <c r="AA252" s="197"/>
      <c r="AB252" s="197"/>
      <c r="AC252" s="197"/>
      <c r="AD252" s="197"/>
      <c r="AE252" s="197"/>
      <c r="AF252" s="197"/>
      <c r="AG252" s="197"/>
    </row>
    <row r="253" spans="1:33" ht="15.75" customHeight="1">
      <c r="A253" s="197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  <c r="AA253" s="197"/>
      <c r="AB253" s="197"/>
      <c r="AC253" s="197"/>
      <c r="AD253" s="197"/>
      <c r="AE253" s="197"/>
      <c r="AF253" s="197"/>
      <c r="AG253" s="197"/>
    </row>
    <row r="254" spans="1:33" ht="15.75" customHeight="1">
      <c r="A254" s="197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  <c r="AA254" s="197"/>
      <c r="AB254" s="197"/>
      <c r="AC254" s="197"/>
      <c r="AD254" s="197"/>
      <c r="AE254" s="197"/>
      <c r="AF254" s="197"/>
      <c r="AG254" s="197"/>
    </row>
    <row r="255" spans="1:33" ht="15.75" customHeight="1">
      <c r="A255" s="197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  <c r="AA255" s="197"/>
      <c r="AB255" s="197"/>
      <c r="AC255" s="197"/>
      <c r="AD255" s="197"/>
      <c r="AE255" s="197"/>
      <c r="AF255" s="197"/>
      <c r="AG255" s="197"/>
    </row>
    <row r="256" spans="1:33" ht="15.75" customHeight="1">
      <c r="A256" s="19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  <c r="AA256" s="197"/>
      <c r="AB256" s="197"/>
      <c r="AC256" s="197"/>
      <c r="AD256" s="197"/>
      <c r="AE256" s="197"/>
      <c r="AF256" s="197"/>
      <c r="AG256" s="197"/>
    </row>
    <row r="257" spans="1:33" ht="15.75" customHeight="1">
      <c r="A257" s="197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  <c r="AA257" s="197"/>
      <c r="AB257" s="197"/>
      <c r="AC257" s="197"/>
      <c r="AD257" s="197"/>
      <c r="AE257" s="197"/>
      <c r="AF257" s="197"/>
      <c r="AG257" s="197"/>
    </row>
    <row r="258" spans="1:33" ht="15.75" customHeight="1">
      <c r="A258" s="197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  <c r="AA258" s="197"/>
      <c r="AB258" s="197"/>
      <c r="AC258" s="197"/>
      <c r="AD258" s="197"/>
      <c r="AE258" s="197"/>
      <c r="AF258" s="197"/>
      <c r="AG258" s="197"/>
    </row>
    <row r="259" spans="1:33" ht="15.75" customHeight="1">
      <c r="A259" s="197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  <c r="AA259" s="197"/>
      <c r="AB259" s="197"/>
      <c r="AC259" s="197"/>
      <c r="AD259" s="197"/>
      <c r="AE259" s="197"/>
      <c r="AF259" s="197"/>
      <c r="AG259" s="197"/>
    </row>
    <row r="260" spans="1:33" ht="15.75" customHeight="1">
      <c r="A260" s="197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  <c r="AA260" s="197"/>
      <c r="AB260" s="197"/>
      <c r="AC260" s="197"/>
      <c r="AD260" s="197"/>
      <c r="AE260" s="197"/>
      <c r="AF260" s="197"/>
      <c r="AG260" s="197"/>
    </row>
    <row r="261" spans="1:33" ht="15.75" customHeight="1">
      <c r="A261" s="197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  <c r="AA261" s="197"/>
      <c r="AB261" s="197"/>
      <c r="AC261" s="197"/>
      <c r="AD261" s="197"/>
      <c r="AE261" s="197"/>
      <c r="AF261" s="197"/>
      <c r="AG261" s="197"/>
    </row>
    <row r="262" spans="1:33" ht="15.75" customHeight="1">
      <c r="A262" s="197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  <c r="AA262" s="197"/>
      <c r="AB262" s="197"/>
      <c r="AC262" s="197"/>
      <c r="AD262" s="197"/>
      <c r="AE262" s="197"/>
      <c r="AF262" s="197"/>
      <c r="AG262" s="197"/>
    </row>
    <row r="263" spans="1:33" ht="15.75" customHeight="1">
      <c r="A263" s="197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  <c r="AA263" s="197"/>
      <c r="AB263" s="197"/>
      <c r="AC263" s="197"/>
      <c r="AD263" s="197"/>
      <c r="AE263" s="197"/>
      <c r="AF263" s="197"/>
      <c r="AG263" s="197"/>
    </row>
    <row r="264" spans="1:33" ht="15.75" customHeight="1">
      <c r="A264" s="197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  <c r="AA264" s="197"/>
      <c r="AB264" s="197"/>
      <c r="AC264" s="197"/>
      <c r="AD264" s="197"/>
      <c r="AE264" s="197"/>
      <c r="AF264" s="197"/>
      <c r="AG264" s="197"/>
    </row>
    <row r="265" spans="1:33" ht="15.75" customHeight="1">
      <c r="A265" s="197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  <c r="AA265" s="197"/>
      <c r="AB265" s="197"/>
      <c r="AC265" s="197"/>
      <c r="AD265" s="197"/>
      <c r="AE265" s="197"/>
      <c r="AF265" s="197"/>
      <c r="AG265" s="197"/>
    </row>
    <row r="266" spans="1:33" ht="15.75" customHeight="1">
      <c r="A266" s="197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  <c r="AA266" s="197"/>
      <c r="AB266" s="197"/>
      <c r="AC266" s="197"/>
      <c r="AD266" s="197"/>
      <c r="AE266" s="197"/>
      <c r="AF266" s="197"/>
      <c r="AG266" s="197"/>
    </row>
    <row r="267" spans="1:33" ht="15.75" customHeight="1">
      <c r="A267" s="197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  <c r="AA267" s="197"/>
      <c r="AB267" s="197"/>
      <c r="AC267" s="197"/>
      <c r="AD267" s="197"/>
      <c r="AE267" s="197"/>
      <c r="AF267" s="197"/>
      <c r="AG267" s="197"/>
    </row>
    <row r="268" spans="1:33" ht="15.75" customHeight="1">
      <c r="A268" s="197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197"/>
      <c r="AF268" s="197"/>
      <c r="AG268" s="197"/>
    </row>
    <row r="269" spans="1:33" ht="15.75" customHeight="1">
      <c r="A269" s="197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  <c r="AA269" s="197"/>
      <c r="AB269" s="197"/>
      <c r="AC269" s="197"/>
      <c r="AD269" s="197"/>
      <c r="AE269" s="197"/>
      <c r="AF269" s="197"/>
      <c r="AG269" s="197"/>
    </row>
    <row r="270" spans="1:33" ht="15.75" customHeight="1">
      <c r="A270" s="197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  <c r="AA270" s="197"/>
      <c r="AB270" s="197"/>
      <c r="AC270" s="197"/>
      <c r="AD270" s="197"/>
      <c r="AE270" s="197"/>
      <c r="AF270" s="197"/>
      <c r="AG270" s="197"/>
    </row>
    <row r="271" spans="1:33" ht="15.75" customHeight="1">
      <c r="A271" s="197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  <c r="AA271" s="197"/>
      <c r="AB271" s="197"/>
      <c r="AC271" s="197"/>
      <c r="AD271" s="197"/>
      <c r="AE271" s="197"/>
      <c r="AF271" s="197"/>
      <c r="AG271" s="197"/>
    </row>
    <row r="272" spans="1:33" ht="15.75" customHeight="1">
      <c r="A272" s="197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  <c r="AA272" s="197"/>
      <c r="AB272" s="197"/>
      <c r="AC272" s="197"/>
      <c r="AD272" s="197"/>
      <c r="AE272" s="197"/>
      <c r="AF272" s="197"/>
      <c r="AG272" s="197"/>
    </row>
    <row r="273" spans="1:33" ht="15.75" customHeight="1">
      <c r="A273" s="197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  <c r="AA273" s="197"/>
      <c r="AB273" s="197"/>
      <c r="AC273" s="197"/>
      <c r="AD273" s="197"/>
      <c r="AE273" s="197"/>
      <c r="AF273" s="197"/>
      <c r="AG273" s="197"/>
    </row>
    <row r="274" spans="1:33" ht="15.75" customHeight="1">
      <c r="A274" s="197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  <c r="AA274" s="197"/>
      <c r="AB274" s="197"/>
      <c r="AC274" s="197"/>
      <c r="AD274" s="197"/>
      <c r="AE274" s="197"/>
      <c r="AF274" s="197"/>
      <c r="AG274" s="197"/>
    </row>
    <row r="275" spans="1:33" ht="15.75" customHeight="1">
      <c r="A275" s="197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</row>
    <row r="276" spans="1:33" ht="15.75" customHeight="1">
      <c r="A276" s="197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  <c r="AA276" s="197"/>
      <c r="AB276" s="197"/>
      <c r="AC276" s="197"/>
      <c r="AD276" s="197"/>
      <c r="AE276" s="197"/>
      <c r="AF276" s="197"/>
      <c r="AG276" s="197"/>
    </row>
    <row r="277" spans="1:33" ht="15.75" customHeight="1">
      <c r="A277" s="197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  <c r="AA277" s="197"/>
      <c r="AB277" s="197"/>
      <c r="AC277" s="197"/>
      <c r="AD277" s="197"/>
      <c r="AE277" s="197"/>
      <c r="AF277" s="197"/>
      <c r="AG277" s="197"/>
    </row>
    <row r="278" spans="1:33" ht="15.75" customHeight="1">
      <c r="A278" s="197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  <c r="AA278" s="197"/>
      <c r="AB278" s="197"/>
      <c r="AC278" s="197"/>
      <c r="AD278" s="197"/>
      <c r="AE278" s="197"/>
      <c r="AF278" s="197"/>
      <c r="AG278" s="197"/>
    </row>
    <row r="279" spans="1:33" ht="15.75" customHeight="1">
      <c r="A279" s="197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  <c r="AA279" s="197"/>
      <c r="AB279" s="197"/>
      <c r="AC279" s="197"/>
      <c r="AD279" s="197"/>
      <c r="AE279" s="197"/>
      <c r="AF279" s="197"/>
      <c r="AG279" s="197"/>
    </row>
    <row r="280" spans="1:33" ht="15.75" customHeight="1">
      <c r="A280" s="197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  <c r="AA280" s="197"/>
      <c r="AB280" s="197"/>
      <c r="AC280" s="197"/>
      <c r="AD280" s="197"/>
      <c r="AE280" s="197"/>
      <c r="AF280" s="197"/>
      <c r="AG280" s="197"/>
    </row>
    <row r="281" spans="1:33" ht="15.75" customHeight="1">
      <c r="A281" s="197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  <c r="AA281" s="197"/>
      <c r="AB281" s="197"/>
      <c r="AC281" s="197"/>
      <c r="AD281" s="197"/>
      <c r="AE281" s="197"/>
      <c r="AF281" s="197"/>
      <c r="AG281" s="197"/>
    </row>
    <row r="282" spans="1:33" ht="15.75" customHeight="1">
      <c r="A282" s="197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  <c r="AA282" s="197"/>
      <c r="AB282" s="197"/>
      <c r="AC282" s="197"/>
      <c r="AD282" s="197"/>
      <c r="AE282" s="197"/>
      <c r="AF282" s="197"/>
      <c r="AG282" s="197"/>
    </row>
    <row r="283" spans="1:33" ht="15.75" customHeight="1">
      <c r="A283" s="197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  <c r="AA283" s="197"/>
      <c r="AB283" s="197"/>
      <c r="AC283" s="197"/>
      <c r="AD283" s="197"/>
      <c r="AE283" s="197"/>
      <c r="AF283" s="197"/>
      <c r="AG283" s="197"/>
    </row>
    <row r="284" spans="1:33" ht="15.75" customHeight="1">
      <c r="A284" s="197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  <c r="AA284" s="197"/>
      <c r="AB284" s="197"/>
      <c r="AC284" s="197"/>
      <c r="AD284" s="197"/>
      <c r="AE284" s="197"/>
      <c r="AF284" s="197"/>
      <c r="AG284" s="197"/>
    </row>
    <row r="285" spans="1:33" ht="15.75" customHeight="1">
      <c r="A285" s="197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  <c r="AA285" s="197"/>
      <c r="AB285" s="197"/>
      <c r="AC285" s="197"/>
      <c r="AD285" s="197"/>
      <c r="AE285" s="197"/>
      <c r="AF285" s="197"/>
      <c r="AG285" s="197"/>
    </row>
    <row r="286" spans="1:33" ht="15.75" customHeight="1">
      <c r="A286" s="197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  <c r="AA286" s="197"/>
      <c r="AB286" s="197"/>
      <c r="AC286" s="197"/>
      <c r="AD286" s="197"/>
      <c r="AE286" s="197"/>
      <c r="AF286" s="197"/>
      <c r="AG286" s="197"/>
    </row>
    <row r="287" spans="1:33" ht="15.75" customHeight="1">
      <c r="A287" s="197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  <c r="AA287" s="197"/>
      <c r="AB287" s="197"/>
      <c r="AC287" s="197"/>
      <c r="AD287" s="197"/>
      <c r="AE287" s="197"/>
      <c r="AF287" s="197"/>
      <c r="AG287" s="197"/>
    </row>
    <row r="288" spans="1:33" ht="15.75" customHeight="1">
      <c r="A288" s="197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  <c r="AA288" s="197"/>
      <c r="AB288" s="197"/>
      <c r="AC288" s="197"/>
      <c r="AD288" s="197"/>
      <c r="AE288" s="197"/>
      <c r="AF288" s="197"/>
      <c r="AG288" s="197"/>
    </row>
    <row r="289" spans="1:33" ht="15.75" customHeight="1">
      <c r="A289" s="197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  <c r="AA289" s="197"/>
      <c r="AB289" s="197"/>
      <c r="AC289" s="197"/>
      <c r="AD289" s="197"/>
      <c r="AE289" s="197"/>
      <c r="AF289" s="197"/>
      <c r="AG289" s="197"/>
    </row>
    <row r="290" spans="1:33" ht="15.75" customHeight="1">
      <c r="A290" s="197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  <c r="AA290" s="197"/>
      <c r="AB290" s="197"/>
      <c r="AC290" s="197"/>
      <c r="AD290" s="197"/>
      <c r="AE290" s="197"/>
      <c r="AF290" s="197"/>
      <c r="AG290" s="197"/>
    </row>
    <row r="291" spans="1:33" ht="15.75" customHeight="1">
      <c r="A291" s="197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  <c r="AA291" s="197"/>
      <c r="AB291" s="197"/>
      <c r="AC291" s="197"/>
      <c r="AD291" s="197"/>
      <c r="AE291" s="197"/>
      <c r="AF291" s="197"/>
      <c r="AG291" s="197"/>
    </row>
    <row r="292" spans="1:33" ht="15.75" customHeight="1">
      <c r="A292" s="197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  <c r="AA292" s="197"/>
      <c r="AB292" s="197"/>
      <c r="AC292" s="197"/>
      <c r="AD292" s="197"/>
      <c r="AE292" s="197"/>
      <c r="AF292" s="197"/>
      <c r="AG292" s="197"/>
    </row>
    <row r="293" spans="1:33" ht="15.75" customHeight="1">
      <c r="A293" s="197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  <c r="AA293" s="197"/>
      <c r="AB293" s="197"/>
      <c r="AC293" s="197"/>
      <c r="AD293" s="197"/>
      <c r="AE293" s="197"/>
      <c r="AF293" s="197"/>
      <c r="AG293" s="197"/>
    </row>
    <row r="294" spans="1:33" ht="15.75" customHeight="1">
      <c r="A294" s="197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  <c r="AA294" s="197"/>
      <c r="AB294" s="197"/>
      <c r="AC294" s="197"/>
      <c r="AD294" s="197"/>
      <c r="AE294" s="197"/>
      <c r="AF294" s="197"/>
      <c r="AG294" s="197"/>
    </row>
    <row r="295" spans="1:33" ht="15.75" customHeight="1">
      <c r="A295" s="197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  <c r="AA295" s="197"/>
      <c r="AB295" s="197"/>
      <c r="AC295" s="197"/>
      <c r="AD295" s="197"/>
      <c r="AE295" s="197"/>
      <c r="AF295" s="197"/>
      <c r="AG295" s="197"/>
    </row>
    <row r="296" spans="1:33" ht="15.75" customHeight="1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  <c r="AA296" s="197"/>
      <c r="AB296" s="197"/>
      <c r="AC296" s="197"/>
      <c r="AD296" s="197"/>
      <c r="AE296" s="197"/>
      <c r="AF296" s="197"/>
      <c r="AG296" s="197"/>
    </row>
    <row r="297" spans="1:33" ht="15.75" customHeight="1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  <c r="AA297" s="197"/>
      <c r="AB297" s="197"/>
      <c r="AC297" s="197"/>
      <c r="AD297" s="197"/>
      <c r="AE297" s="197"/>
      <c r="AF297" s="197"/>
      <c r="AG297" s="197"/>
    </row>
    <row r="298" spans="1:33" ht="15.75" customHeight="1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  <c r="AA298" s="197"/>
      <c r="AB298" s="197"/>
      <c r="AC298" s="197"/>
      <c r="AD298" s="197"/>
      <c r="AE298" s="197"/>
      <c r="AF298" s="197"/>
      <c r="AG298" s="197"/>
    </row>
    <row r="299" spans="1:33" ht="15.75" customHeight="1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  <c r="AA299" s="197"/>
      <c r="AB299" s="197"/>
      <c r="AC299" s="197"/>
      <c r="AD299" s="197"/>
      <c r="AE299" s="197"/>
      <c r="AF299" s="197"/>
      <c r="AG299" s="197"/>
    </row>
    <row r="300" spans="1:33" ht="15.75" customHeight="1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  <c r="AA300" s="197"/>
      <c r="AB300" s="197"/>
      <c r="AC300" s="197"/>
      <c r="AD300" s="197"/>
      <c r="AE300" s="197"/>
      <c r="AF300" s="197"/>
      <c r="AG300" s="197"/>
    </row>
    <row r="301" spans="1:33" ht="15.75" customHeight="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  <c r="AA301" s="197"/>
      <c r="AB301" s="197"/>
      <c r="AC301" s="197"/>
      <c r="AD301" s="197"/>
      <c r="AE301" s="197"/>
      <c r="AF301" s="197"/>
      <c r="AG301" s="197"/>
    </row>
    <row r="302" spans="1:33" ht="15.75" customHeight="1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197"/>
      <c r="AG302" s="197"/>
    </row>
    <row r="303" spans="1:33" ht="15.75" customHeight="1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  <c r="AA303" s="197"/>
      <c r="AB303" s="197"/>
      <c r="AC303" s="197"/>
      <c r="AD303" s="197"/>
      <c r="AE303" s="197"/>
      <c r="AF303" s="197"/>
      <c r="AG303" s="197"/>
    </row>
    <row r="304" spans="1:33" ht="15.75" customHeight="1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197"/>
      <c r="AG304" s="197"/>
    </row>
    <row r="305" spans="1:33" ht="15.75" customHeight="1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  <c r="AA305" s="197"/>
      <c r="AB305" s="197"/>
      <c r="AC305" s="197"/>
      <c r="AD305" s="197"/>
      <c r="AE305" s="197"/>
      <c r="AF305" s="197"/>
      <c r="AG305" s="197"/>
    </row>
    <row r="306" spans="1:33" ht="15.75" customHeight="1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</row>
    <row r="307" spans="1:33" ht="15.75" customHeight="1">
      <c r="A307" s="197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197"/>
      <c r="AG307" s="197"/>
    </row>
    <row r="308" spans="1:33" ht="15.75" customHeight="1">
      <c r="A308" s="197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  <c r="AA308" s="197"/>
      <c r="AB308" s="197"/>
      <c r="AC308" s="197"/>
      <c r="AD308" s="197"/>
      <c r="AE308" s="197"/>
      <c r="AF308" s="197"/>
      <c r="AG308" s="197"/>
    </row>
    <row r="309" spans="1:33" ht="15.75" customHeight="1">
      <c r="A309" s="197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197"/>
      <c r="AG309" s="197"/>
    </row>
    <row r="310" spans="1:33" ht="15.75" customHeight="1">
      <c r="A310" s="197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197"/>
      <c r="AG310" s="197"/>
    </row>
    <row r="311" spans="1:33" ht="15.75" customHeight="1">
      <c r="A311" s="197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197"/>
      <c r="AG311" s="197"/>
    </row>
    <row r="312" spans="1:33" ht="15.75" customHeight="1">
      <c r="A312" s="197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197"/>
      <c r="AG312" s="197"/>
    </row>
    <row r="313" spans="1:33" ht="15.75" customHeight="1">
      <c r="A313" s="197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197"/>
      <c r="AG313" s="197"/>
    </row>
    <row r="314" spans="1:33" ht="15.75" customHeight="1">
      <c r="A314" s="197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  <c r="AA314" s="197"/>
      <c r="AB314" s="197"/>
      <c r="AC314" s="197"/>
      <c r="AD314" s="197"/>
      <c r="AE314" s="197"/>
      <c r="AF314" s="197"/>
      <c r="AG314" s="197"/>
    </row>
    <row r="315" spans="1:33" ht="15.75" customHeight="1">
      <c r="A315" s="197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197"/>
      <c r="AG315" s="197"/>
    </row>
    <row r="316" spans="1:33" ht="15.75" customHeight="1">
      <c r="A316" s="197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197"/>
      <c r="AG316" s="197"/>
    </row>
    <row r="317" spans="1:33" ht="15.75" customHeight="1">
      <c r="A317" s="197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197"/>
      <c r="AG317" s="197"/>
    </row>
    <row r="318" spans="1:33" ht="15.75" customHeight="1">
      <c r="A318" s="197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197"/>
      <c r="AG318" s="197"/>
    </row>
    <row r="319" spans="1:33" ht="15.75" customHeight="1">
      <c r="A319" s="197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197"/>
      <c r="AG319" s="197"/>
    </row>
    <row r="320" spans="1:33" ht="15.75" customHeight="1">
      <c r="A320" s="197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197"/>
      <c r="AG320" s="197"/>
    </row>
    <row r="321" spans="1:33" ht="15.75" customHeight="1">
      <c r="A321" s="197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  <c r="AA321" s="197"/>
      <c r="AB321" s="197"/>
      <c r="AC321" s="197"/>
      <c r="AD321" s="197"/>
      <c r="AE321" s="197"/>
      <c r="AF321" s="197"/>
      <c r="AG321" s="197"/>
    </row>
    <row r="322" spans="1:33" ht="15.75" customHeight="1">
      <c r="A322" s="197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  <c r="AA322" s="197"/>
      <c r="AB322" s="197"/>
      <c r="AC322" s="197"/>
      <c r="AD322" s="197"/>
      <c r="AE322" s="197"/>
      <c r="AF322" s="197"/>
      <c r="AG322" s="197"/>
    </row>
    <row r="323" spans="1:33" ht="15.75" customHeight="1">
      <c r="A323" s="197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197"/>
      <c r="AG323" s="197"/>
    </row>
    <row r="324" spans="1:33" ht="15.75" customHeight="1">
      <c r="A324" s="197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197"/>
      <c r="AG324" s="197"/>
    </row>
    <row r="325" spans="1:33" ht="15.75" customHeight="1">
      <c r="A325" s="197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197"/>
      <c r="AG325" s="197"/>
    </row>
    <row r="326" spans="1:33" ht="15.75" customHeight="1">
      <c r="A326" s="197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197"/>
      <c r="AG326" s="197"/>
    </row>
    <row r="327" spans="1:33" ht="15.75" customHeight="1">
      <c r="A327" s="197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197"/>
      <c r="AG327" s="197"/>
    </row>
    <row r="328" spans="1:33" ht="15.75" customHeight="1">
      <c r="A328" s="197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  <c r="AA328" s="197"/>
      <c r="AB328" s="197"/>
      <c r="AC328" s="197"/>
      <c r="AD328" s="197"/>
      <c r="AE328" s="197"/>
      <c r="AF328" s="197"/>
      <c r="AG328" s="197"/>
    </row>
    <row r="329" spans="1:33" ht="15.75" customHeight="1">
      <c r="A329" s="197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197"/>
      <c r="AG329" s="197"/>
    </row>
    <row r="330" spans="1:33" ht="15.75" customHeight="1">
      <c r="A330" s="197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197"/>
      <c r="AG330" s="197"/>
    </row>
    <row r="331" spans="1:33" ht="15.75" customHeight="1">
      <c r="A331" s="197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197"/>
      <c r="AG331" s="197"/>
    </row>
    <row r="332" spans="1:33" ht="15.75" customHeight="1">
      <c r="A332" s="197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  <c r="AA332" s="197"/>
      <c r="AB332" s="197"/>
      <c r="AC332" s="197"/>
      <c r="AD332" s="197"/>
      <c r="AE332" s="197"/>
      <c r="AF332" s="197"/>
      <c r="AG332" s="197"/>
    </row>
    <row r="333" spans="1:33" ht="15.75" customHeight="1">
      <c r="A333" s="197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  <c r="AA333" s="197"/>
      <c r="AB333" s="197"/>
      <c r="AC333" s="197"/>
      <c r="AD333" s="197"/>
      <c r="AE333" s="197"/>
      <c r="AF333" s="197"/>
      <c r="AG333" s="197"/>
    </row>
    <row r="334" spans="1:33" ht="15.75" customHeight="1">
      <c r="A334" s="197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197"/>
      <c r="AG334" s="197"/>
    </row>
    <row r="335" spans="1:33" ht="15.75" customHeight="1">
      <c r="A335" s="197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197"/>
      <c r="AG335" s="197"/>
    </row>
    <row r="336" spans="1:33" ht="15.75" customHeight="1">
      <c r="A336" s="197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</row>
    <row r="337" spans="1:33" ht="15.75" customHeight="1">
      <c r="A337" s="197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197"/>
      <c r="AG337" s="197"/>
    </row>
    <row r="338" spans="1:33" ht="15.75" customHeight="1">
      <c r="A338" s="197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197"/>
      <c r="AG338" s="197"/>
    </row>
    <row r="339" spans="1:33" ht="15.75" customHeight="1">
      <c r="A339" s="197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  <c r="AA339" s="197"/>
      <c r="AB339" s="197"/>
      <c r="AC339" s="197"/>
      <c r="AD339" s="197"/>
      <c r="AE339" s="197"/>
      <c r="AF339" s="197"/>
      <c r="AG339" s="197"/>
    </row>
    <row r="340" spans="1:33" ht="15.75" customHeight="1">
      <c r="A340" s="197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  <c r="AA340" s="197"/>
      <c r="AB340" s="197"/>
      <c r="AC340" s="197"/>
      <c r="AD340" s="197"/>
      <c r="AE340" s="197"/>
      <c r="AF340" s="197"/>
      <c r="AG340" s="197"/>
    </row>
    <row r="341" spans="1:33" ht="15.75" customHeight="1">
      <c r="A341" s="197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  <c r="AA341" s="197"/>
      <c r="AB341" s="197"/>
      <c r="AC341" s="197"/>
      <c r="AD341" s="197"/>
      <c r="AE341" s="197"/>
      <c r="AF341" s="197"/>
      <c r="AG341" s="197"/>
    </row>
    <row r="342" spans="1:33" ht="15.75" customHeight="1">
      <c r="A342" s="197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197"/>
      <c r="AG342" s="197"/>
    </row>
    <row r="343" spans="1:33" ht="15.75" customHeight="1">
      <c r="A343" s="197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197"/>
      <c r="AG343" s="197"/>
    </row>
    <row r="344" spans="1:33" ht="15.75" customHeight="1">
      <c r="A344" s="197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197"/>
      <c r="AG344" s="197"/>
    </row>
    <row r="345" spans="1:33" ht="15.75" customHeight="1">
      <c r="A345" s="197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197"/>
      <c r="AG345" s="197"/>
    </row>
    <row r="346" spans="1:33" ht="15.75" customHeight="1">
      <c r="A346" s="197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197"/>
      <c r="AG346" s="197"/>
    </row>
    <row r="347" spans="1:33" ht="15.75" customHeight="1">
      <c r="A347" s="197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197"/>
      <c r="AG347" s="197"/>
    </row>
    <row r="348" spans="1:33" ht="15.75" customHeight="1">
      <c r="A348" s="197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  <c r="AA348" s="197"/>
      <c r="AB348" s="197"/>
      <c r="AC348" s="197"/>
      <c r="AD348" s="197"/>
      <c r="AE348" s="197"/>
      <c r="AF348" s="197"/>
      <c r="AG348" s="197"/>
    </row>
    <row r="349" spans="1:33" ht="15.75" customHeight="1">
      <c r="A349" s="197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  <c r="AA349" s="197"/>
      <c r="AB349" s="197"/>
      <c r="AC349" s="197"/>
      <c r="AD349" s="197"/>
      <c r="AE349" s="197"/>
      <c r="AF349" s="197"/>
      <c r="AG349" s="197"/>
    </row>
    <row r="350" spans="1:33" ht="15.75" customHeight="1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</row>
    <row r="351" spans="1:33" ht="15.75" customHeight="1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</row>
    <row r="352" spans="1:33" ht="15.75" customHeight="1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</row>
    <row r="353" spans="1:33" ht="15.75" customHeight="1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</row>
    <row r="354" spans="1:33" ht="15.75" customHeight="1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</row>
    <row r="355" spans="1:33" ht="15.75" customHeight="1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</row>
    <row r="356" spans="1:33" ht="15.75" customHeight="1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</row>
    <row r="357" spans="1:33" ht="15.75" customHeight="1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</row>
    <row r="358" spans="1:33" ht="15.75" customHeight="1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</row>
    <row r="359" spans="1:33" ht="15.75" customHeight="1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</row>
    <row r="360" spans="1:33" ht="15.75" customHeight="1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</row>
    <row r="361" spans="1:33" ht="15.75" customHeight="1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</row>
    <row r="362" spans="1:33" ht="15.75" customHeight="1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</row>
    <row r="363" spans="1:33" ht="15.75" customHeight="1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</row>
    <row r="364" spans="1:33" ht="15.75" customHeight="1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</row>
    <row r="365" spans="1:33" ht="15.75" customHeight="1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</row>
    <row r="366" spans="1:33" ht="15.75" customHeight="1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</row>
    <row r="367" spans="1:33" ht="15.75" customHeight="1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</row>
    <row r="368" spans="1:33" ht="15.75" customHeight="1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</row>
    <row r="369" spans="1:33" ht="15.75" customHeight="1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</row>
    <row r="370" spans="1:33" ht="15.75" customHeight="1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</row>
    <row r="371" spans="1:33" ht="15.75" customHeight="1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</row>
    <row r="372" spans="1:33" ht="15.75" customHeight="1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</row>
    <row r="373" spans="1:33" ht="15.75" customHeight="1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</row>
    <row r="374" spans="1:33" ht="15.75" customHeight="1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</row>
    <row r="375" spans="1:33" ht="15.75" customHeight="1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</row>
    <row r="376" spans="1:33" ht="15.75" customHeight="1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</row>
    <row r="377" spans="1:33" ht="15.75" customHeight="1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</row>
    <row r="378" spans="1:33" ht="15.75" customHeight="1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</row>
    <row r="379" spans="1:33" ht="15.75" customHeight="1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</row>
    <row r="380" spans="1:33" ht="15.75" customHeight="1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</row>
    <row r="381" spans="1:33" ht="15.75" customHeight="1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</row>
    <row r="382" spans="1:33" ht="15.75" customHeight="1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</row>
    <row r="383" spans="1:33" ht="15.75" customHeight="1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</row>
    <row r="384" spans="1:33" ht="15.75" customHeight="1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</row>
    <row r="385" spans="1:33" ht="15.75" customHeight="1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</row>
    <row r="386" spans="1:33" ht="15.75" customHeight="1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</row>
    <row r="387" spans="1:33" ht="15.75" customHeight="1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</row>
    <row r="388" spans="1:33" ht="15.75" customHeight="1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</row>
    <row r="389" spans="1:33" ht="15.75" customHeight="1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</row>
    <row r="390" spans="1:33" ht="15.75" customHeight="1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</row>
    <row r="391" spans="1:33" ht="15.75" customHeight="1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</row>
    <row r="392" spans="1:33" ht="15.75" customHeight="1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</row>
    <row r="393" spans="1:33" ht="15.75" customHeight="1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</row>
    <row r="394" spans="1:33" ht="15.75" customHeight="1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</row>
    <row r="395" spans="1:33" ht="15.75" customHeight="1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</row>
    <row r="396" spans="1:33" ht="15.75" customHeight="1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</row>
    <row r="397" spans="1:33" ht="15.75" customHeight="1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</row>
    <row r="398" spans="1:33" ht="15.75" customHeight="1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</row>
    <row r="399" spans="1:33" ht="15.75" customHeight="1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</row>
    <row r="400" spans="1:33" ht="15.75" customHeight="1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</row>
    <row r="401" spans="1:33" ht="15.75" customHeight="1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</row>
    <row r="402" spans="1:33" ht="15.75" customHeight="1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</row>
    <row r="403" spans="1:33" ht="15.75" customHeight="1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</row>
    <row r="404" spans="1:33" ht="15.75" customHeight="1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</row>
    <row r="405" spans="1:33" ht="15.75" customHeight="1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</row>
    <row r="406" spans="1:33" ht="15.75" customHeight="1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</row>
    <row r="407" spans="1:33" ht="15.75" customHeight="1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</row>
    <row r="408" spans="1:33" ht="15.75" customHeight="1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</row>
    <row r="409" spans="1:33" ht="15.75" customHeight="1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</row>
    <row r="410" spans="1:33" ht="15.75" customHeight="1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</row>
    <row r="411" spans="1:33" ht="15.75" customHeight="1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</row>
    <row r="412" spans="1:33" ht="15.75" customHeight="1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</row>
    <row r="413" spans="1:33" ht="15.75" customHeight="1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</row>
    <row r="414" spans="1:33" ht="15.75" customHeight="1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</row>
    <row r="415" spans="1:33" ht="15.75" customHeight="1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</row>
    <row r="416" spans="1:33" ht="15.75" customHeight="1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</row>
    <row r="417" spans="1:33" ht="15.75" customHeight="1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</row>
    <row r="418" spans="1:33" ht="15.75" customHeight="1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</row>
    <row r="419" spans="1:33" ht="15.75" customHeight="1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</row>
    <row r="420" spans="1:33" ht="15.75" customHeight="1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</row>
    <row r="421" spans="1:33" ht="15.75" customHeight="1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</row>
    <row r="422" spans="1:33" ht="15.75" customHeight="1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</row>
    <row r="423" spans="1:33" ht="15.75" customHeight="1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</row>
    <row r="424" spans="1:33" ht="15.75" customHeight="1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</row>
    <row r="425" spans="1:33" ht="15.75" customHeight="1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</row>
    <row r="426" spans="1:33" ht="15.75" customHeight="1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</row>
    <row r="427" spans="1:33" ht="15.75" customHeight="1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</row>
    <row r="428" spans="1:33" ht="15.75" customHeight="1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</row>
    <row r="429" spans="1:33" ht="15.75" customHeight="1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</row>
    <row r="430" spans="1:33" ht="15.75" customHeight="1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</row>
    <row r="431" spans="1:33" ht="15.75" customHeight="1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</row>
    <row r="432" spans="1:33" ht="15.75" customHeight="1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</row>
    <row r="433" spans="1:33" ht="15.75" customHeight="1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</row>
    <row r="434" spans="1:33" ht="15.75" customHeight="1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</row>
    <row r="435" spans="1:33" ht="15.75" customHeight="1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</row>
    <row r="436" spans="1:33" ht="15.75" customHeight="1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</row>
    <row r="437" spans="1:33" ht="15.75" customHeight="1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</row>
    <row r="438" spans="1:33" ht="15.75" customHeight="1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</row>
    <row r="439" spans="1:33" ht="15.75" customHeight="1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</row>
    <row r="440" spans="1:33" ht="15.75" customHeight="1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</row>
    <row r="441" spans="1:33" ht="15.75" customHeight="1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</row>
    <row r="442" spans="1:33" ht="15.75" customHeight="1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</row>
    <row r="443" spans="1:33" ht="15.75" customHeight="1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</row>
    <row r="444" spans="1:33" ht="15.75" customHeight="1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</row>
    <row r="445" spans="1:33" ht="15.75" customHeight="1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</row>
    <row r="446" spans="1:33" ht="15.75" customHeight="1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</row>
    <row r="447" spans="1:33" ht="15.75" customHeight="1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</row>
    <row r="448" spans="1:33" ht="15.75" customHeight="1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</row>
    <row r="449" spans="1:33" ht="15.75" customHeight="1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</row>
    <row r="450" spans="1:33" ht="15.75" customHeight="1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</row>
    <row r="451" spans="1:33" ht="15.75" customHeight="1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</row>
    <row r="452" spans="1:33" ht="15.75" customHeight="1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</row>
    <row r="453" spans="1:33" ht="15.75" customHeight="1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</row>
    <row r="454" spans="1:33" ht="15.75" customHeight="1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</row>
    <row r="455" spans="1:33" ht="15.75" customHeight="1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</row>
    <row r="456" spans="1:33" ht="15.75" customHeight="1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</row>
    <row r="457" spans="1:33" ht="15.75" customHeight="1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</row>
    <row r="458" spans="1:33" ht="15.75" customHeight="1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</row>
    <row r="459" spans="1:33" ht="15.75" customHeight="1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</row>
    <row r="460" spans="1:33" ht="15.75" customHeight="1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</row>
    <row r="461" spans="1:33" ht="15.75" customHeight="1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</row>
    <row r="462" spans="1:33" ht="15.75" customHeight="1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</row>
    <row r="463" spans="1:33" ht="15.75" customHeight="1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</row>
    <row r="464" spans="1:33" ht="15.75" customHeight="1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</row>
    <row r="465" spans="1:33" ht="15.75" customHeight="1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</row>
    <row r="466" spans="1:33" ht="15.75" customHeight="1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</row>
    <row r="467" spans="1:33" ht="15.75" customHeight="1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</row>
    <row r="468" spans="1:33" ht="15.75" customHeight="1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</row>
    <row r="469" spans="1:33" ht="15.75" customHeight="1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</row>
    <row r="470" spans="1:33" ht="15.75" customHeight="1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</row>
    <row r="471" spans="1:33" ht="15.75" customHeight="1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</row>
    <row r="472" spans="1:33" ht="15.75" customHeight="1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</row>
    <row r="473" spans="1:33" ht="15.75" customHeight="1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</row>
    <row r="474" spans="1:33" ht="15.75" customHeight="1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</row>
    <row r="475" spans="1:33" ht="15.75" customHeight="1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</row>
    <row r="476" spans="1:33" ht="15.75" customHeight="1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</row>
    <row r="477" spans="1:33" ht="15.75" customHeight="1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</row>
    <row r="478" spans="1:33" ht="15.75" customHeight="1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</row>
    <row r="479" spans="1:33" ht="15.75" customHeight="1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</row>
    <row r="480" spans="1:33" ht="15.75" customHeight="1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</row>
    <row r="481" spans="1:33" ht="15.75" customHeight="1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</row>
    <row r="482" spans="1:33" ht="15.75" customHeight="1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</row>
    <row r="483" spans="1:33" ht="15.75" customHeight="1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</row>
    <row r="484" spans="1:33" ht="15.75" customHeight="1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</row>
    <row r="485" spans="1:33" ht="15.75" customHeight="1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</row>
    <row r="486" spans="1:33" ht="15.75" customHeight="1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</row>
    <row r="487" spans="1:33" ht="15.75" customHeight="1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</row>
    <row r="488" spans="1:33" ht="15.75" customHeight="1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</row>
    <row r="489" spans="1:33" ht="15.75" customHeight="1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</row>
    <row r="490" spans="1:33" ht="15.75" customHeight="1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</row>
    <row r="491" spans="1:33" ht="15.75" customHeight="1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</row>
    <row r="492" spans="1:33" ht="15.75" customHeight="1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</row>
    <row r="493" spans="1:33" ht="15.75" customHeight="1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</row>
    <row r="494" spans="1:33" ht="15.75" customHeight="1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</row>
    <row r="495" spans="1:33" ht="15.75" customHeight="1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</row>
    <row r="496" spans="1:33" ht="15.75" customHeight="1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</row>
    <row r="497" spans="1:33" ht="15.75" customHeight="1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</row>
    <row r="498" spans="1:33" ht="15.75" customHeight="1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</row>
    <row r="499" spans="1:33" ht="15.75" customHeight="1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</row>
    <row r="500" spans="1:33" ht="15.75" customHeight="1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</row>
    <row r="501" spans="1:33" ht="15.75" customHeight="1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</row>
    <row r="502" spans="1:33" ht="15.75" customHeight="1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</row>
    <row r="503" spans="1:33" ht="15.75" customHeight="1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</row>
    <row r="504" spans="1:33" ht="15.75" customHeight="1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</row>
    <row r="505" spans="1:33" ht="15.75" customHeight="1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</row>
    <row r="506" spans="1:33" ht="15.75" customHeight="1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</row>
    <row r="507" spans="1:33" ht="15.75" customHeight="1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</row>
    <row r="508" spans="1:33" ht="15.75" customHeight="1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</row>
    <row r="509" spans="1:33" ht="15.75" customHeight="1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</row>
    <row r="510" spans="1:33" ht="15.75" customHeight="1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</row>
    <row r="511" spans="1:33" ht="15.75" customHeight="1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</row>
    <row r="512" spans="1:33" ht="15.75" customHeight="1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</row>
    <row r="513" spans="1:33" ht="15.75" customHeight="1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</row>
    <row r="514" spans="1:33" ht="15.75" customHeight="1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</row>
    <row r="515" spans="1:33" ht="15.75" customHeight="1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</row>
    <row r="516" spans="1:33" ht="15.75" customHeight="1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</row>
    <row r="517" spans="1:33" ht="15.75" customHeight="1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</row>
    <row r="518" spans="1:33" ht="15.75" customHeight="1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</row>
    <row r="519" spans="1:33" ht="15.75" customHeight="1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</row>
    <row r="520" spans="1:33" ht="15.75" customHeight="1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</row>
    <row r="521" spans="1:33" ht="15.75" customHeight="1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</row>
    <row r="522" spans="1:33" ht="15.75" customHeight="1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</row>
    <row r="523" spans="1:33" ht="15.75" customHeight="1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</row>
    <row r="524" spans="1:33" ht="15.75" customHeight="1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</row>
    <row r="525" spans="1:33" ht="15.75" customHeight="1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</row>
    <row r="526" spans="1:33" ht="15.75" customHeight="1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</row>
    <row r="527" spans="1:33" ht="15.75" customHeight="1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</row>
    <row r="528" spans="1:33" ht="15.75" customHeight="1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</row>
    <row r="529" spans="1:33" ht="15.75" customHeight="1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</row>
    <row r="530" spans="1:33" ht="15.75" customHeight="1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</row>
    <row r="531" spans="1:33" ht="15.75" customHeight="1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</row>
    <row r="532" spans="1:33" ht="15.75" customHeight="1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</row>
    <row r="533" spans="1:33" ht="15.75" customHeight="1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</row>
    <row r="534" spans="1:33" ht="15.75" customHeight="1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</row>
    <row r="535" spans="1:33" ht="15.75" customHeight="1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</row>
    <row r="536" spans="1:33" ht="15.75" customHeight="1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</row>
    <row r="537" spans="1:33" ht="15.75" customHeight="1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</row>
    <row r="538" spans="1:33" ht="15.75" customHeight="1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</row>
    <row r="539" spans="1:33" ht="15.75" customHeight="1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</row>
    <row r="540" spans="1:33" ht="15.75" customHeight="1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</row>
    <row r="541" spans="1:33" ht="15.75" customHeight="1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</row>
    <row r="542" spans="1:33" ht="15.75" customHeight="1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</row>
    <row r="543" spans="1:33" ht="15.75" customHeight="1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</row>
    <row r="544" spans="1:33" ht="15.75" customHeight="1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</row>
    <row r="545" spans="1:33" ht="15.75" customHeight="1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</row>
    <row r="546" spans="1:33" ht="15.75" customHeight="1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</row>
    <row r="547" spans="1:33" ht="15.75" customHeight="1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</row>
    <row r="548" spans="1:33" ht="15.75" customHeight="1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</row>
    <row r="549" spans="1:33" ht="15.75" customHeight="1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</row>
    <row r="550" spans="1:33" ht="15.75" customHeight="1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</row>
    <row r="551" spans="1:33" ht="15.75" customHeight="1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</row>
    <row r="552" spans="1:33" ht="15.75" customHeight="1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</row>
    <row r="553" spans="1:33" ht="15.75" customHeight="1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</row>
    <row r="554" spans="1:33" ht="15.75" customHeight="1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</row>
    <row r="555" spans="1:33" ht="15.75" customHeight="1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</row>
    <row r="556" spans="1:33" ht="15.75" customHeight="1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</row>
    <row r="557" spans="1:33" ht="15.75" customHeight="1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</row>
    <row r="558" spans="1:33" ht="15.75" customHeight="1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</row>
    <row r="559" spans="1:33" ht="15.75" customHeight="1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</row>
    <row r="560" spans="1:33" ht="15.75" customHeight="1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</row>
    <row r="561" spans="1:33" ht="15.75" customHeight="1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</row>
    <row r="562" spans="1:33" ht="15.75" customHeight="1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</row>
    <row r="563" spans="1:33" ht="15.75" customHeight="1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</row>
    <row r="564" spans="1:33" ht="15.75" customHeight="1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</row>
    <row r="565" spans="1:33" ht="15.75" customHeight="1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</row>
    <row r="566" spans="1:33" ht="15.75" customHeight="1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</row>
    <row r="567" spans="1:33" ht="15.75" customHeight="1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</row>
    <row r="568" spans="1:33" ht="15.75" customHeight="1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</row>
    <row r="569" spans="1:33" ht="15.75" customHeight="1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</row>
    <row r="570" spans="1:33" ht="15.75" customHeight="1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</row>
    <row r="571" spans="1:33" ht="15.75" customHeight="1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</row>
    <row r="572" spans="1:33" ht="15.75" customHeight="1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</row>
    <row r="573" spans="1:33" ht="15.75" customHeight="1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</row>
    <row r="574" spans="1:33" ht="15.75" customHeight="1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</row>
    <row r="575" spans="1:33" ht="15.75" customHeight="1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</row>
    <row r="576" spans="1:33" ht="15.75" customHeight="1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</row>
    <row r="577" spans="1:33" ht="15.75" customHeight="1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</row>
    <row r="578" spans="1:33" ht="15.75" customHeight="1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</row>
    <row r="579" spans="1:33" ht="15.75" customHeight="1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</row>
    <row r="580" spans="1:33" ht="15.75" customHeight="1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</row>
    <row r="581" spans="1:33" ht="15.75" customHeight="1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</row>
    <row r="582" spans="1:33" ht="15.75" customHeight="1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</row>
    <row r="583" spans="1:33" ht="15.75" customHeight="1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</row>
    <row r="584" spans="1:33" ht="15.75" customHeight="1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</row>
    <row r="585" spans="1:33" ht="15.75" customHeight="1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</row>
    <row r="586" spans="1:33" ht="15.75" customHeight="1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</row>
    <row r="587" spans="1:33" ht="15.75" customHeight="1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</row>
    <row r="588" spans="1:33" ht="15.75" customHeight="1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</row>
    <row r="589" spans="1:33" ht="15.75" customHeight="1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</row>
    <row r="590" spans="1:33" ht="15.75" customHeight="1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</row>
    <row r="591" spans="1:33" ht="15.75" customHeight="1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</row>
    <row r="592" spans="1:33" ht="15.75" customHeight="1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</row>
    <row r="593" spans="1:33" ht="15.75" customHeight="1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</row>
    <row r="594" spans="1:33" ht="15.75" customHeight="1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</row>
    <row r="595" spans="1:33" ht="15.75" customHeight="1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</row>
    <row r="596" spans="1:33" ht="15.75" customHeight="1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</row>
    <row r="597" spans="1:33" ht="15.75" customHeight="1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</row>
    <row r="598" spans="1:33" ht="15.75" customHeight="1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</row>
    <row r="599" spans="1:33" ht="15.75" customHeight="1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</row>
    <row r="600" spans="1:33" ht="15.75" customHeight="1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</row>
    <row r="601" spans="1:33" ht="15.75" customHeight="1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</row>
    <row r="602" spans="1:33" ht="15.75" customHeight="1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</row>
    <row r="603" spans="1:33" ht="15.75" customHeight="1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</row>
    <row r="604" spans="1:33" ht="15.75" customHeight="1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</row>
    <row r="605" spans="1:33" ht="15.75" customHeight="1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</row>
    <row r="606" spans="1:33" ht="15.75" customHeight="1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</row>
    <row r="607" spans="1:33" ht="15.75" customHeight="1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</row>
    <row r="608" spans="1:33" ht="15.75" customHeight="1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</row>
    <row r="609" spans="1:33" ht="15.75" customHeight="1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</row>
    <row r="610" spans="1:33" ht="15.75" customHeight="1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</row>
    <row r="611" spans="1:33" ht="15.75" customHeight="1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</row>
    <row r="612" spans="1:33" ht="15.75" customHeight="1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</row>
    <row r="613" spans="1:33" ht="15.75" customHeight="1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</row>
    <row r="614" spans="1:33" ht="15.75" customHeight="1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</row>
    <row r="615" spans="1:33" ht="15.75" customHeight="1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</row>
    <row r="616" spans="1:33" ht="15.75" customHeight="1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</row>
    <row r="617" spans="1:33" ht="15.75" customHeight="1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</row>
    <row r="618" spans="1:33" ht="15.75" customHeight="1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</row>
    <row r="619" spans="1:33" ht="15.75" customHeight="1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</row>
    <row r="620" spans="1:33" ht="15.75" customHeight="1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</row>
    <row r="621" spans="1:33" ht="15.75" customHeight="1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</row>
    <row r="622" spans="1:33" ht="15.75" customHeight="1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</row>
    <row r="623" spans="1:33" ht="15.75" customHeight="1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</row>
    <row r="624" spans="1:33" ht="15.75" customHeight="1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</row>
    <row r="625" spans="1:33" ht="15.75" customHeight="1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</row>
    <row r="626" spans="1:33" ht="15.75" customHeight="1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</row>
    <row r="627" spans="1:33" ht="15.75" customHeight="1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</row>
    <row r="628" spans="1:33" ht="15.75" customHeight="1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</row>
    <row r="629" spans="1:33" ht="15.75" customHeight="1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</row>
    <row r="630" spans="1:33" ht="15.75" customHeight="1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</row>
    <row r="631" spans="1:33" ht="15.75" customHeight="1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</row>
    <row r="632" spans="1:33" ht="15.75" customHeight="1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</row>
    <row r="633" spans="1:33" ht="15.75" customHeight="1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</row>
    <row r="634" spans="1:33" ht="15.75" customHeight="1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</row>
    <row r="635" spans="1:33" ht="15.75" customHeight="1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</row>
    <row r="636" spans="1:33" ht="15.75" customHeight="1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</row>
    <row r="637" spans="1:33" ht="15.75" customHeight="1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</row>
    <row r="638" spans="1:33" ht="15.75" customHeight="1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</row>
    <row r="639" spans="1:33" ht="15.75" customHeight="1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</row>
    <row r="640" spans="1:33" ht="15.75" customHeight="1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</row>
    <row r="641" spans="1:33" ht="15.75" customHeight="1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</row>
    <row r="642" spans="1:33" ht="15.75" customHeight="1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</row>
    <row r="643" spans="1:33" ht="15.75" customHeight="1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</row>
    <row r="644" spans="1:33" ht="15.75" customHeight="1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</row>
    <row r="645" spans="1:33" ht="15.75" customHeight="1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</row>
    <row r="646" spans="1:33" ht="15.75" customHeight="1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</row>
    <row r="647" spans="1:33" ht="15.75" customHeight="1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</row>
    <row r="648" spans="1:33" ht="15.75" customHeight="1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</row>
    <row r="649" spans="1:33" ht="15.75" customHeight="1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</row>
    <row r="650" spans="1:33" ht="15.75" customHeight="1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</row>
    <row r="651" spans="1:33" ht="15.75" customHeight="1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</row>
    <row r="652" spans="1:33" ht="15.75" customHeight="1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</row>
    <row r="653" spans="1:33" ht="15.75" customHeight="1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</row>
    <row r="654" spans="1:33" ht="15.75" customHeight="1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</row>
    <row r="655" spans="1:33" ht="15.75" customHeight="1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</row>
    <row r="656" spans="1:33" ht="15.75" customHeight="1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</row>
    <row r="657" spans="1:33" ht="15.75" customHeight="1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</row>
    <row r="658" spans="1:33" ht="15.75" customHeight="1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</row>
    <row r="659" spans="1:33" ht="15.75" customHeight="1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</row>
    <row r="660" spans="1:33" ht="15.75" customHeight="1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</row>
    <row r="661" spans="1:33" ht="15.75" customHeight="1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</row>
    <row r="662" spans="1:33" ht="15.75" customHeight="1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</row>
    <row r="663" spans="1:33" ht="15.75" customHeight="1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</row>
    <row r="664" spans="1:33" ht="15.75" customHeight="1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</row>
    <row r="665" spans="1:33" ht="15.75" customHeight="1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</row>
    <row r="666" spans="1:33" ht="15.75" customHeight="1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</row>
    <row r="667" spans="1:33" ht="15.75" customHeight="1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</row>
    <row r="668" spans="1:33" ht="15.75" customHeight="1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</row>
    <row r="669" spans="1:33" ht="15.75" customHeight="1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</row>
    <row r="670" spans="1:33" ht="15.75" customHeight="1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</row>
    <row r="671" spans="1:33" ht="15.75" customHeight="1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</row>
    <row r="672" spans="1:33" ht="15.75" customHeight="1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</row>
    <row r="673" spans="1:33" ht="15.75" customHeight="1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</row>
    <row r="674" spans="1:33" ht="15.75" customHeight="1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</row>
    <row r="675" spans="1:33" ht="15.75" customHeight="1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</row>
    <row r="676" spans="1:33" ht="15.75" customHeight="1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</row>
    <row r="677" spans="1:33" ht="15.75" customHeight="1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</row>
    <row r="678" spans="1:33" ht="15.75" customHeight="1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</row>
    <row r="679" spans="1:33" ht="15.75" customHeight="1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</row>
    <row r="680" spans="1:33" ht="15.75" customHeight="1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</row>
    <row r="681" spans="1:33" ht="15.75" customHeight="1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</row>
    <row r="682" spans="1:33" ht="15.75" customHeight="1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</row>
    <row r="683" spans="1:33" ht="15.75" customHeight="1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</row>
    <row r="684" spans="1:33" ht="15.75" customHeight="1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</row>
    <row r="685" spans="1:33" ht="15.75" customHeight="1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</row>
    <row r="686" spans="1:33" ht="15.75" customHeight="1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</row>
    <row r="687" spans="1:33" ht="15.75" customHeight="1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</row>
    <row r="688" spans="1:33" ht="15.75" customHeight="1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</row>
    <row r="689" spans="1:33" ht="15.75" customHeight="1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</row>
    <row r="690" spans="1:33" ht="15.75" customHeight="1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</row>
    <row r="691" spans="1:33" ht="15.75" customHeight="1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</row>
    <row r="692" spans="1:33" ht="15.75" customHeight="1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</row>
    <row r="693" spans="1:33" ht="15.75" customHeight="1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</row>
    <row r="694" spans="1:33" ht="15.75" customHeight="1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</row>
    <row r="695" spans="1:33" ht="15.75" customHeight="1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</row>
    <row r="696" spans="1:33" ht="15.75" customHeight="1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</row>
    <row r="697" spans="1:33" ht="15.75" customHeight="1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</row>
    <row r="698" spans="1:33" ht="15.75" customHeight="1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</row>
    <row r="699" spans="1:33" ht="15.75" customHeight="1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</row>
    <row r="700" spans="1:33" ht="15.75" customHeight="1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</row>
    <row r="701" spans="1:33" ht="15.75" customHeight="1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</row>
    <row r="702" spans="1:33" ht="15.75" customHeight="1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</row>
    <row r="703" spans="1:33" ht="15.75" customHeight="1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</row>
    <row r="704" spans="1:33" ht="15.75" customHeight="1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</row>
    <row r="705" spans="1:33" ht="15.75" customHeight="1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</row>
    <row r="706" spans="1:33" ht="15.75" customHeight="1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</row>
    <row r="707" spans="1:33" ht="15.75" customHeight="1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</row>
    <row r="708" spans="1:33" ht="15.75" customHeight="1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</row>
    <row r="709" spans="1:33" ht="15.75" customHeight="1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</row>
    <row r="710" spans="1:33" ht="15.75" customHeight="1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</row>
    <row r="711" spans="1:33" ht="15.75" customHeight="1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</row>
    <row r="712" spans="1:33" ht="15.75" customHeight="1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</row>
    <row r="713" spans="1:33" ht="15.75" customHeight="1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</row>
    <row r="714" spans="1:33" ht="15.75" customHeight="1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</row>
    <row r="715" spans="1:33" ht="15.75" customHeight="1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</row>
    <row r="716" spans="1:33" ht="15.75" customHeight="1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</row>
    <row r="717" spans="1:33" ht="15.75" customHeight="1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</row>
    <row r="718" spans="1:33" ht="15.75" customHeight="1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</row>
    <row r="719" spans="1:33" ht="15.75" customHeight="1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</row>
    <row r="720" spans="1:33" ht="15.75" customHeight="1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</row>
    <row r="721" spans="1:33" ht="15.75" customHeight="1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</row>
    <row r="722" spans="1:33" ht="15.75" customHeight="1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</row>
    <row r="723" spans="1:33" ht="15.75" customHeight="1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</row>
    <row r="724" spans="1:33" ht="15.75" customHeight="1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</row>
    <row r="725" spans="1:33" ht="15.75" customHeight="1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</row>
    <row r="726" spans="1:33" ht="15.75" customHeight="1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</row>
    <row r="727" spans="1:33" ht="15.75" customHeight="1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</row>
    <row r="728" spans="1:33" ht="15.75" customHeight="1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</row>
    <row r="729" spans="1:33" ht="15.75" customHeight="1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</row>
    <row r="730" spans="1:33" ht="15.75" customHeight="1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</row>
    <row r="731" spans="1:33" ht="15.75" customHeight="1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</row>
    <row r="732" spans="1:33" ht="15.75" customHeight="1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</row>
    <row r="733" spans="1:33" ht="15.75" customHeight="1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</row>
    <row r="734" spans="1:33" ht="15.75" customHeight="1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</row>
    <row r="735" spans="1:33" ht="15.75" customHeight="1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</row>
    <row r="736" spans="1:33" ht="15.75" customHeight="1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</row>
    <row r="737" spans="1:33" ht="15.75" customHeight="1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</row>
    <row r="738" spans="1:33" ht="15.75" customHeight="1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</row>
    <row r="739" spans="1:33" ht="15.75" customHeight="1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</row>
    <row r="740" spans="1:33" ht="15.75" customHeight="1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</row>
    <row r="741" spans="1:33" ht="15.75" customHeight="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</row>
    <row r="742" spans="1:33" ht="15.75" customHeight="1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</row>
    <row r="743" spans="1:33" ht="15.75" customHeight="1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</row>
    <row r="744" spans="1:33" ht="15.75" customHeight="1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</row>
    <row r="745" spans="1:33" ht="15.75" customHeight="1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</row>
    <row r="746" spans="1:33" ht="15.75" customHeight="1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</row>
    <row r="747" spans="1:33" ht="15.75" customHeight="1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</row>
    <row r="748" spans="1:33" ht="15.75" customHeight="1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</row>
    <row r="749" spans="1:33" ht="15.75" customHeight="1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</row>
    <row r="750" spans="1:33" ht="15.75" customHeight="1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</row>
    <row r="751" spans="1:33" ht="15.75" customHeight="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</row>
    <row r="752" spans="1:33" ht="15.75" customHeight="1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</row>
    <row r="753" spans="1:33" ht="15.75" customHeight="1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</row>
    <row r="754" spans="1:33" ht="15.75" customHeight="1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</row>
    <row r="755" spans="1:33" ht="15.75" customHeight="1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</row>
    <row r="756" spans="1:33" ht="15.75" customHeight="1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</row>
    <row r="757" spans="1:33" ht="15.75" customHeight="1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</row>
    <row r="758" spans="1:33" ht="15.75" customHeight="1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</row>
    <row r="759" spans="1:33" ht="15.75" customHeight="1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</row>
    <row r="760" spans="1:33" ht="15.75" customHeight="1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</row>
    <row r="761" spans="1:33" ht="15.75" customHeight="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</row>
    <row r="762" spans="1:33" ht="15.75" customHeight="1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</row>
    <row r="763" spans="1:33" ht="15.75" customHeight="1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</row>
    <row r="764" spans="1:33" ht="15.75" customHeight="1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</row>
    <row r="765" spans="1:33" ht="15.75" customHeight="1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</row>
    <row r="766" spans="1:33" ht="15.75" customHeight="1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</row>
    <row r="767" spans="1:33" ht="15.75" customHeight="1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</row>
    <row r="768" spans="1:33" ht="15.75" customHeight="1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</row>
    <row r="769" spans="1:33" ht="15.75" customHeight="1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</row>
    <row r="770" spans="1:33" ht="15.75" customHeight="1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</row>
    <row r="771" spans="1:33" ht="15.75" customHeight="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</row>
    <row r="772" spans="1:33" ht="15.75" customHeight="1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</row>
    <row r="773" spans="1:33" ht="15.75" customHeight="1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</row>
    <row r="774" spans="1:33" ht="15.75" customHeight="1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</row>
    <row r="775" spans="1:33" ht="15.75" customHeight="1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</row>
    <row r="776" spans="1:33" ht="15.75" customHeight="1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</row>
    <row r="777" spans="1:33" ht="15.75" customHeight="1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</row>
    <row r="778" spans="1:33" ht="15.75" customHeight="1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</row>
    <row r="779" spans="1:33" ht="15.75" customHeight="1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</row>
    <row r="780" spans="1:33" ht="15.75" customHeight="1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</row>
    <row r="781" spans="1:33" ht="15.75" customHeight="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</row>
    <row r="782" spans="1:33" ht="15.75" customHeight="1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</row>
    <row r="783" spans="1:33" ht="15.75" customHeight="1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</row>
    <row r="784" spans="1:33" ht="15.75" customHeight="1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</row>
    <row r="785" spans="1:33" ht="15.75" customHeight="1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</row>
    <row r="786" spans="1:33" ht="15.75" customHeight="1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</row>
    <row r="787" spans="1:33" ht="15.75" customHeight="1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</row>
    <row r="788" spans="1:33" ht="15.75" customHeight="1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</row>
    <row r="789" spans="1:33" ht="15.75" customHeight="1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</row>
    <row r="790" spans="1:33" ht="15.75" customHeight="1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</row>
    <row r="791" spans="1:33" ht="15.75" customHeight="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</row>
    <row r="792" spans="1:33" ht="15.75" customHeight="1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</row>
    <row r="793" spans="1:33" ht="15.75" customHeight="1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</row>
    <row r="794" spans="1:33" ht="15.75" customHeight="1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</row>
    <row r="795" spans="1:33" ht="15.75" customHeight="1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</row>
    <row r="796" spans="1:33" ht="15.75" customHeight="1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</row>
    <row r="797" spans="1:33" ht="15.75" customHeight="1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</row>
    <row r="798" spans="1:33" ht="15.75" customHeight="1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</row>
    <row r="799" spans="1:33" ht="15.75" customHeight="1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</row>
    <row r="800" spans="1:33" ht="15.75" customHeight="1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</row>
    <row r="801" spans="1:33" ht="15.75" customHeight="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</row>
    <row r="802" spans="1:33" ht="15.75" customHeight="1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</row>
    <row r="803" spans="1:33" ht="15.75" customHeight="1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</row>
    <row r="804" spans="1:33" ht="15.75" customHeight="1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</row>
    <row r="805" spans="1:33" ht="15.75" customHeight="1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</row>
    <row r="806" spans="1:33" ht="15.75" customHeight="1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</row>
    <row r="807" spans="1:33" ht="15.75" customHeight="1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</row>
    <row r="808" spans="1:33" ht="15.75" customHeight="1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</row>
    <row r="809" spans="1:33" ht="15.75" customHeight="1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</row>
    <row r="810" spans="1:33" ht="15.75" customHeight="1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</row>
    <row r="811" spans="1:33" ht="15.75" customHeight="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</row>
    <row r="812" spans="1:33" ht="15.75" customHeight="1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</row>
    <row r="813" spans="1:33" ht="15.75" customHeight="1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</row>
    <row r="814" spans="1:33" ht="15.75" customHeight="1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</row>
    <row r="815" spans="1:33" ht="15.75" customHeight="1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</row>
    <row r="816" spans="1:33" ht="15.75" customHeight="1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</row>
    <row r="817" spans="1:33" ht="15.75" customHeight="1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</row>
    <row r="818" spans="1:33" ht="15.75" customHeight="1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</row>
    <row r="819" spans="1:33" ht="15.75" customHeight="1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</row>
    <row r="820" spans="1:33" ht="15.75" customHeight="1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</row>
    <row r="821" spans="1:33" ht="15.75" customHeight="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</row>
    <row r="822" spans="1:33" ht="15.75" customHeight="1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</row>
    <row r="823" spans="1:33" ht="15.75" customHeight="1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</row>
    <row r="824" spans="1:33" ht="15.75" customHeight="1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</row>
    <row r="825" spans="1:33" ht="15.75" customHeight="1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</row>
    <row r="826" spans="1:33" ht="15.75" customHeight="1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</row>
    <row r="827" spans="1:33" ht="15.75" customHeight="1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</row>
    <row r="828" spans="1:33" ht="15.75" customHeight="1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</row>
    <row r="829" spans="1:33" ht="15.75" customHeight="1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</row>
    <row r="830" spans="1:33" ht="15.75" customHeight="1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</row>
    <row r="831" spans="1:33" ht="15.75" customHeight="1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</row>
    <row r="832" spans="1:33" ht="15.75" customHeight="1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</row>
    <row r="833" spans="1:33" ht="15.75" customHeight="1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</row>
    <row r="834" spans="1:33" ht="15.75" customHeight="1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</row>
    <row r="835" spans="1:33" ht="15.75" customHeight="1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</row>
    <row r="836" spans="1:33" ht="15.75" customHeight="1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</row>
    <row r="837" spans="1:33" ht="15.75" customHeight="1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</row>
    <row r="838" spans="1:33" ht="15.75" customHeight="1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</row>
    <row r="839" spans="1:33" ht="15.75" customHeight="1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</row>
    <row r="840" spans="1:33" ht="15.75" customHeight="1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</row>
    <row r="841" spans="1:33" ht="15.75" customHeight="1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</row>
    <row r="842" spans="1:33" ht="15.75" customHeight="1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</row>
    <row r="843" spans="1:33" ht="15.75" customHeight="1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</row>
    <row r="844" spans="1:33" ht="15.75" customHeight="1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</row>
    <row r="845" spans="1:33" ht="15.75" customHeight="1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</row>
    <row r="846" spans="1:33" ht="15.75" customHeight="1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</row>
    <row r="847" spans="1:33" ht="15.75" customHeight="1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</row>
    <row r="848" spans="1:33" ht="15.75" customHeight="1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</row>
    <row r="849" spans="1:33" ht="15.75" customHeight="1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</row>
    <row r="850" spans="1:33" ht="15.75" customHeight="1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</row>
    <row r="851" spans="1:33" ht="15.75" customHeight="1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</row>
    <row r="852" spans="1:33" ht="15.75" customHeight="1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</row>
    <row r="853" spans="1:33" ht="15.75" customHeight="1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</row>
    <row r="854" spans="1:33" ht="15.75" customHeight="1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</row>
    <row r="855" spans="1:33" ht="15.75" customHeight="1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</row>
    <row r="856" spans="1:33" ht="15.75" customHeight="1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</row>
    <row r="857" spans="1:33" ht="15.75" customHeight="1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</row>
    <row r="858" spans="1:33" ht="15.75" customHeight="1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</row>
    <row r="859" spans="1:33" ht="15.75" customHeight="1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</row>
    <row r="860" spans="1:33" ht="15.75" customHeight="1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</row>
    <row r="861" spans="1:33" ht="15.75" customHeight="1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</row>
    <row r="862" spans="1:33" ht="15.75" customHeight="1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</row>
    <row r="863" spans="1:33" ht="15.75" customHeight="1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</row>
    <row r="864" spans="1:33" ht="15.75" customHeight="1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</row>
    <row r="865" spans="1:33" ht="15.75" customHeight="1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</row>
    <row r="866" spans="1:33" ht="15.75" customHeight="1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</row>
    <row r="867" spans="1:33" ht="15.75" customHeight="1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</row>
    <row r="868" spans="1:33" ht="15.75" customHeight="1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</row>
    <row r="869" spans="1:33" ht="15.75" customHeight="1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</row>
    <row r="870" spans="1:33" ht="15.75" customHeight="1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</row>
    <row r="871" spans="1:33" ht="15.75" customHeight="1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</row>
    <row r="872" spans="1:33" ht="15.75" customHeight="1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</row>
    <row r="873" spans="1:33" ht="15.75" customHeight="1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</row>
    <row r="874" spans="1:33" ht="15.75" customHeight="1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</row>
    <row r="875" spans="1:33" ht="15.75" customHeight="1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</row>
    <row r="876" spans="1:33" ht="15.75" customHeight="1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</row>
    <row r="877" spans="1:33" ht="15.75" customHeight="1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</row>
    <row r="878" spans="1:33" ht="15.75" customHeight="1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</row>
    <row r="879" spans="1:33" ht="15.75" customHeight="1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</row>
    <row r="880" spans="1:33" ht="15.75" customHeight="1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</row>
    <row r="881" spans="1:33" ht="15.75" customHeight="1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</row>
    <row r="882" spans="1:33" ht="15.75" customHeight="1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</row>
    <row r="883" spans="1:33" ht="15.75" customHeight="1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</row>
    <row r="884" spans="1:33" ht="15.75" customHeight="1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</row>
    <row r="885" spans="1:33" ht="15.75" customHeight="1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</row>
    <row r="886" spans="1:33" ht="15.75" customHeight="1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</row>
    <row r="887" spans="1:33" ht="15.75" customHeight="1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</row>
    <row r="888" spans="1:33" ht="15.75" customHeight="1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</row>
    <row r="889" spans="1:33" ht="15.75" customHeight="1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</row>
    <row r="890" spans="1:33" ht="15.75" customHeight="1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</row>
    <row r="891" spans="1:33" ht="15.75" customHeight="1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</row>
    <row r="892" spans="1:33" ht="15.75" customHeight="1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</row>
    <row r="893" spans="1:33" ht="15.75" customHeight="1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</row>
    <row r="894" spans="1:33" ht="15.75" customHeight="1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</row>
    <row r="895" spans="1:33" ht="15.75" customHeight="1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</row>
    <row r="896" spans="1:33" ht="15.75" customHeight="1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</row>
    <row r="897" spans="1:33" ht="15.75" customHeight="1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</row>
    <row r="898" spans="1:33" ht="15.75" customHeight="1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</row>
    <row r="899" spans="1:33" ht="15.75" customHeight="1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</row>
    <row r="900" spans="1:33" ht="15.75" customHeight="1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</row>
    <row r="901" spans="1:33" ht="15.75" customHeight="1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</row>
    <row r="902" spans="1:33" ht="15.75" customHeight="1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</row>
    <row r="903" spans="1:33" ht="15.75" customHeight="1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</row>
    <row r="904" spans="1:33" ht="15.75" customHeight="1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</row>
    <row r="905" spans="1:33" ht="15.75" customHeight="1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</row>
    <row r="906" spans="1:33" ht="15.75" customHeight="1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</row>
    <row r="907" spans="1:33" ht="15.75" customHeight="1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</row>
    <row r="908" spans="1:33" ht="15.75" customHeight="1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</row>
    <row r="909" spans="1:33" ht="15.75" customHeight="1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</row>
    <row r="910" spans="1:33" ht="15.75" customHeight="1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</row>
    <row r="911" spans="1:33" ht="15.75" customHeight="1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</row>
    <row r="912" spans="1:33" ht="15.75" customHeight="1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</row>
    <row r="913" spans="1:33" ht="15.75" customHeight="1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</row>
    <row r="914" spans="1:33" ht="15.75" customHeight="1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</row>
    <row r="915" spans="1:33" ht="15.75" customHeight="1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</row>
    <row r="916" spans="1:33" ht="15.75" customHeight="1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</row>
    <row r="917" spans="1:33" ht="15.75" customHeight="1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</row>
    <row r="918" spans="1:33" ht="15.75" customHeight="1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</row>
    <row r="919" spans="1:33" ht="15.75" customHeight="1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</row>
    <row r="920" spans="1:33" ht="15.75" customHeight="1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</row>
    <row r="921" spans="1:33" ht="15.75" customHeight="1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</row>
    <row r="922" spans="1:33" ht="15.75" customHeight="1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</row>
    <row r="923" spans="1:33" ht="15.75" customHeight="1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</row>
    <row r="924" spans="1:33" ht="15.75" customHeight="1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</row>
    <row r="925" spans="1:33" ht="15.75" customHeight="1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</row>
    <row r="926" spans="1:33" ht="15.75" customHeight="1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</row>
    <row r="927" spans="1:33" ht="15.75" customHeight="1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</row>
    <row r="928" spans="1:33" ht="15.75" customHeight="1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</row>
    <row r="929" spans="1:33" ht="15.75" customHeight="1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</row>
    <row r="930" spans="1:33" ht="15.75" customHeight="1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</row>
    <row r="931" spans="1:33" ht="15.75" customHeight="1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</row>
    <row r="932" spans="1:33" ht="15.75" customHeight="1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</row>
    <row r="933" spans="1:33" ht="15.75" customHeight="1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</row>
    <row r="934" spans="1:33" ht="15.75" customHeight="1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</row>
    <row r="935" spans="1:33" ht="15.75" customHeight="1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</row>
    <row r="936" spans="1:33" ht="15.75" customHeight="1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</row>
    <row r="937" spans="1:33" ht="15.75" customHeight="1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</row>
    <row r="938" spans="1:33" ht="15.75" customHeight="1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</row>
    <row r="939" spans="1:33" ht="15.75" customHeight="1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</row>
    <row r="940" spans="1:33" ht="15.75" customHeight="1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</row>
    <row r="941" spans="1:33" ht="15.75" customHeight="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</row>
    <row r="942" spans="1:33" ht="15.75" customHeight="1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</row>
    <row r="943" spans="1:33" ht="15.75" customHeight="1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</row>
    <row r="944" spans="1:33" ht="15.75" customHeight="1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</row>
    <row r="945" spans="1:33" ht="15.75" customHeight="1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</row>
    <row r="946" spans="1:33" ht="15.75" customHeight="1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</row>
    <row r="947" spans="1:33" ht="15.75" customHeight="1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</row>
    <row r="948" spans="1:33" ht="15.75" customHeight="1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</row>
    <row r="949" spans="1:33" ht="15.75" customHeight="1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</row>
    <row r="950" spans="1:33" ht="15.75" customHeight="1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</row>
    <row r="951" spans="1:33" ht="15.7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</row>
    <row r="952" spans="1:33" ht="15.75" customHeight="1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</row>
    <row r="953" spans="1:33" ht="15.75" customHeight="1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</row>
    <row r="954" spans="1:33" ht="15.75" customHeight="1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</row>
    <row r="955" spans="1:33" ht="15.75" customHeight="1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</row>
    <row r="956" spans="1:33" ht="15.75" customHeight="1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</row>
    <row r="957" spans="1:33" ht="15.75" customHeight="1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</row>
    <row r="958" spans="1:33" ht="15.75" customHeight="1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</row>
    <row r="959" spans="1:33" ht="15.7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</row>
    <row r="960" spans="1:33" ht="15.75" customHeight="1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</row>
    <row r="961" spans="1:33" ht="15.75" customHeight="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</row>
    <row r="962" spans="1:33" ht="15.75" customHeight="1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</row>
    <row r="963" spans="1:33" ht="15.75" customHeight="1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</row>
    <row r="964" spans="1:33" ht="15.75" customHeight="1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</row>
    <row r="965" spans="1:33" ht="15.75" customHeight="1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</row>
    <row r="966" spans="1:33" ht="15.75" customHeight="1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</row>
    <row r="967" spans="1:33" ht="15.75" customHeight="1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</row>
    <row r="968" spans="1:33" ht="15.75" customHeight="1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</row>
    <row r="969" spans="1:33" ht="15.75" customHeight="1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</row>
    <row r="970" spans="1:33" ht="15.75" customHeight="1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</row>
    <row r="971" spans="1:33" ht="15.75" customHeight="1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</row>
    <row r="972" spans="1:33" ht="15.75" customHeight="1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</row>
    <row r="973" spans="1:33" ht="15.75" customHeight="1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</row>
    <row r="974" spans="1:33" ht="15.75" customHeight="1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</row>
    <row r="975" spans="1:33" ht="15.75" customHeight="1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</row>
    <row r="976" spans="1:33" ht="15.75" customHeight="1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</row>
    <row r="977" spans="1:33" ht="15.75" customHeight="1">
      <c r="A977" s="197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  <c r="AB977" s="197"/>
      <c r="AC977" s="197"/>
      <c r="AD977" s="197"/>
      <c r="AE977" s="197"/>
      <c r="AF977" s="197"/>
      <c r="AG977" s="197"/>
    </row>
    <row r="978" spans="1:33" ht="15.75" customHeight="1">
      <c r="A978" s="197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  <c r="AB978" s="197"/>
      <c r="AC978" s="197"/>
      <c r="AD978" s="197"/>
      <c r="AE978" s="197"/>
      <c r="AF978" s="197"/>
      <c r="AG978" s="197"/>
    </row>
    <row r="979" spans="1:33" ht="15.75" customHeight="1">
      <c r="A979" s="197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  <c r="AB979" s="197"/>
      <c r="AC979" s="197"/>
      <c r="AD979" s="197"/>
      <c r="AE979" s="197"/>
      <c r="AF979" s="197"/>
      <c r="AG979" s="197"/>
    </row>
    <row r="980" spans="1:33" ht="15.75" customHeight="1">
      <c r="A980" s="197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  <c r="AB980" s="197"/>
      <c r="AC980" s="197"/>
      <c r="AD980" s="197"/>
      <c r="AE980" s="197"/>
      <c r="AF980" s="197"/>
      <c r="AG980" s="197"/>
    </row>
  </sheetData>
  <mergeCells count="5">
    <mergeCell ref="O5:R5"/>
    <mergeCell ref="Y13:AC14"/>
    <mergeCell ref="B41:J41"/>
    <mergeCell ref="D42:J42"/>
    <mergeCell ref="B44:B49"/>
  </mergeCells>
  <pageMargins left="0.7" right="0.7" top="0.75" bottom="0.75" header="0" footer="0"/>
  <pageSetup scale="3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F2EC"/>
  </sheetPr>
  <dimension ref="A1:Z1000"/>
  <sheetViews>
    <sheetView showGridLines="0" topLeftCell="A3" zoomScale="107" zoomScaleNormal="75" workbookViewId="0">
      <selection activeCell="M12" sqref="M12"/>
    </sheetView>
  </sheetViews>
  <sheetFormatPr defaultColWidth="14.44140625" defaultRowHeight="15" customHeight="1"/>
  <cols>
    <col min="1" max="1" width="2.77734375" style="19" customWidth="1"/>
    <col min="2" max="4" width="12.77734375" style="19" customWidth="1"/>
    <col min="5" max="5" width="18" style="19" customWidth="1"/>
    <col min="6" max="6" width="2.77734375" style="19" customWidth="1"/>
    <col min="7" max="26" width="12.77734375" style="19" customWidth="1"/>
    <col min="27" max="16384" width="14.44140625" style="19"/>
  </cols>
  <sheetData>
    <row r="1" spans="1:26" s="242" customFormat="1" ht="15.75" customHeight="1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</row>
    <row r="2" spans="1:26" s="242" customFormat="1" ht="15.75" customHeight="1">
      <c r="A2" s="255"/>
      <c r="B2" s="256" t="s">
        <v>184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</row>
    <row r="3" spans="1:26" s="242" customFormat="1" ht="15.75" customHeight="1">
      <c r="A3" s="257"/>
      <c r="B3" s="257" t="s">
        <v>226</v>
      </c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</row>
    <row r="4" spans="1:26" ht="15.75" customHeight="1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</row>
    <row r="5" spans="1:26" ht="15.75" customHeight="1">
      <c r="A5" s="193"/>
      <c r="B5" s="444" t="s">
        <v>185</v>
      </c>
      <c r="C5" s="445"/>
      <c r="D5" s="445"/>
      <c r="E5" s="446"/>
      <c r="F5" s="193"/>
      <c r="G5" s="444" t="s">
        <v>186</v>
      </c>
      <c r="H5" s="445"/>
      <c r="I5" s="445"/>
      <c r="J5" s="446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</row>
    <row r="6" spans="1:26" ht="15.75" customHeight="1">
      <c r="A6" s="193"/>
      <c r="B6" s="226" t="s">
        <v>187</v>
      </c>
      <c r="C6" s="227"/>
      <c r="D6" s="227"/>
      <c r="E6" s="228">
        <v>4.3999999999999997E-2</v>
      </c>
      <c r="F6" s="193"/>
      <c r="G6" s="229"/>
      <c r="H6" s="229"/>
      <c r="I6" s="229"/>
      <c r="J6" s="229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</row>
    <row r="7" spans="1:26" ht="15.75" customHeight="1">
      <c r="A7" s="193"/>
      <c r="B7" s="230" t="s">
        <v>188</v>
      </c>
      <c r="C7" s="193"/>
      <c r="D7" s="193"/>
      <c r="E7" s="228">
        <v>0.06</v>
      </c>
      <c r="F7" s="193"/>
      <c r="G7" s="226" t="s">
        <v>222</v>
      </c>
      <c r="H7" s="227"/>
      <c r="I7" s="227"/>
      <c r="J7" s="231">
        <v>4.3999999999999997E-2</v>
      </c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</row>
    <row r="8" spans="1:26" ht="15.75" customHeight="1">
      <c r="A8" s="193"/>
      <c r="B8" s="230" t="s">
        <v>223</v>
      </c>
      <c r="C8" s="193"/>
      <c r="D8" s="193"/>
      <c r="E8" s="265">
        <v>1</v>
      </c>
      <c r="F8" s="193"/>
      <c r="G8" s="194" t="s">
        <v>190</v>
      </c>
      <c r="H8" s="315"/>
      <c r="I8" s="315"/>
      <c r="J8" s="316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</row>
    <row r="9" spans="1:26" ht="15.75" customHeight="1">
      <c r="A9" s="193"/>
      <c r="B9" s="230" t="s">
        <v>53</v>
      </c>
      <c r="C9" s="193"/>
      <c r="D9" s="193"/>
      <c r="E9" s="266">
        <f>J10</f>
        <v>0.26</v>
      </c>
      <c r="F9" s="193"/>
      <c r="G9" s="272" t="s">
        <v>191</v>
      </c>
      <c r="H9" s="273"/>
      <c r="I9" s="273"/>
      <c r="J9" s="274">
        <v>8</v>
      </c>
      <c r="K9" s="232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</row>
    <row r="10" spans="1:26" ht="15.75" customHeight="1">
      <c r="A10" s="193"/>
      <c r="B10" s="230" t="s">
        <v>192</v>
      </c>
      <c r="C10" s="193"/>
      <c r="D10" s="193"/>
      <c r="E10" s="266">
        <v>0.88</v>
      </c>
      <c r="F10" s="193"/>
      <c r="G10" s="230" t="s">
        <v>221</v>
      </c>
      <c r="H10" s="193"/>
      <c r="I10" s="193"/>
      <c r="J10" s="233">
        <v>0.26</v>
      </c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</row>
    <row r="11" spans="1:26" ht="15.75" customHeight="1">
      <c r="A11" s="193"/>
      <c r="B11" s="230" t="s">
        <v>170</v>
      </c>
      <c r="C11" s="193"/>
      <c r="D11" s="195"/>
      <c r="E11" s="267">
        <v>251600000</v>
      </c>
      <c r="F11" s="193"/>
      <c r="G11" s="272" t="s">
        <v>193</v>
      </c>
      <c r="H11" s="273"/>
      <c r="I11" s="273"/>
      <c r="J11" s="275">
        <f>J9*(1+J10)/100</f>
        <v>0.1008</v>
      </c>
      <c r="K11" s="232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</row>
    <row r="12" spans="1:26" ht="15.75" customHeight="1">
      <c r="A12" s="193"/>
      <c r="B12" s="234" t="s">
        <v>194</v>
      </c>
      <c r="C12" s="235"/>
      <c r="D12" s="235"/>
      <c r="E12" s="268">
        <v>17200000</v>
      </c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ht="15.75" customHeight="1">
      <c r="A13" s="193"/>
      <c r="B13" s="193"/>
      <c r="C13" s="193"/>
      <c r="D13" s="193"/>
      <c r="E13" s="193"/>
      <c r="F13" s="193"/>
      <c r="G13" s="444" t="s">
        <v>195</v>
      </c>
      <c r="H13" s="445"/>
      <c r="I13" s="445"/>
      <c r="J13" s="446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ht="15.75" customHeight="1">
      <c r="A14" s="193"/>
      <c r="B14" s="193" t="s">
        <v>224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ht="15.75" customHeight="1">
      <c r="A15" s="193"/>
      <c r="B15" s="193"/>
      <c r="C15" s="193"/>
      <c r="D15" s="193"/>
      <c r="E15" s="193"/>
      <c r="F15" s="193"/>
      <c r="G15" s="236" t="s">
        <v>187</v>
      </c>
      <c r="H15" s="237"/>
      <c r="I15" s="237"/>
      <c r="J15" s="231">
        <f>J7</f>
        <v>4.3999999999999997E-2</v>
      </c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ht="15.75" customHeight="1">
      <c r="A16" s="193"/>
      <c r="B16" s="193"/>
      <c r="C16" s="193"/>
      <c r="D16" s="193"/>
      <c r="E16" s="193"/>
      <c r="F16" s="193"/>
      <c r="G16" s="238" t="s">
        <v>188</v>
      </c>
      <c r="H16" s="239"/>
      <c r="I16" s="239"/>
      <c r="J16" s="233">
        <f>E7</f>
        <v>0.06</v>
      </c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ht="15.75" customHeight="1">
      <c r="A17" s="193"/>
      <c r="B17" s="193"/>
      <c r="C17" s="193"/>
      <c r="D17" s="193"/>
      <c r="E17" s="193" t="s">
        <v>196</v>
      </c>
      <c r="F17" s="193"/>
      <c r="G17" s="238" t="s">
        <v>189</v>
      </c>
      <c r="H17" s="239"/>
      <c r="I17" s="239"/>
      <c r="J17" s="327">
        <f>E8</f>
        <v>1</v>
      </c>
      <c r="K17" s="232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ht="15.75" customHeight="1">
      <c r="A18" s="193"/>
      <c r="B18" s="193"/>
      <c r="C18" s="193"/>
      <c r="D18" s="193"/>
      <c r="E18" s="193"/>
      <c r="F18" s="193"/>
      <c r="G18" s="276" t="s">
        <v>197</v>
      </c>
      <c r="H18" s="277"/>
      <c r="I18" s="277"/>
      <c r="J18" s="275">
        <f>J15+J16*J17</f>
        <v>0.104</v>
      </c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ht="15.75" customHeight="1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ht="15.75" customHeight="1">
      <c r="A20" s="193"/>
      <c r="B20" s="269" t="s">
        <v>198</v>
      </c>
      <c r="C20" s="270"/>
      <c r="D20" s="270"/>
      <c r="E20" s="270"/>
      <c r="F20" s="270"/>
      <c r="G20" s="447" t="s">
        <v>199</v>
      </c>
      <c r="H20" s="445"/>
      <c r="I20" s="270" t="s">
        <v>200</v>
      </c>
      <c r="J20" s="271" t="s">
        <v>201</v>
      </c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ht="15.75" customHeight="1">
      <c r="A21" s="193"/>
      <c r="B21" s="230" t="s">
        <v>194</v>
      </c>
      <c r="C21" s="193"/>
      <c r="D21" s="193"/>
      <c r="E21" s="193"/>
      <c r="F21" s="193"/>
      <c r="G21" s="440">
        <f>E12</f>
        <v>17200000</v>
      </c>
      <c r="H21" s="441"/>
      <c r="I21" s="240">
        <f>G21/G23</f>
        <v>7.2084758264601353E-2</v>
      </c>
      <c r="J21" s="233">
        <f>J11</f>
        <v>0.1008</v>
      </c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</row>
    <row r="22" spans="1:26" ht="15.75" customHeight="1">
      <c r="A22" s="193"/>
      <c r="B22" s="230" t="s">
        <v>202</v>
      </c>
      <c r="C22" s="193"/>
      <c r="D22" s="193"/>
      <c r="E22" s="193"/>
      <c r="F22" s="193"/>
      <c r="G22" s="440">
        <f>E10*E11</f>
        <v>221408000</v>
      </c>
      <c r="H22" s="441"/>
      <c r="I22" s="240">
        <f>G22/G23</f>
        <v>0.92791524173539863</v>
      </c>
      <c r="J22" s="233">
        <f>J18</f>
        <v>0.104</v>
      </c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</row>
    <row r="23" spans="1:26" ht="15.75" customHeight="1">
      <c r="A23" s="193"/>
      <c r="B23" s="272" t="s">
        <v>203</v>
      </c>
      <c r="C23" s="273"/>
      <c r="D23" s="273"/>
      <c r="E23" s="273"/>
      <c r="F23" s="273"/>
      <c r="G23" s="442">
        <f>SUM(G21:G22)</f>
        <v>238608000</v>
      </c>
      <c r="H23" s="443"/>
      <c r="I23" s="278">
        <f>SUM(I21:I22)</f>
        <v>1</v>
      </c>
      <c r="J23" s="275">
        <f>I21*J21+I22*J22</f>
        <v>0.10376932877355327</v>
      </c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</row>
    <row r="24" spans="1:26" ht="15.75" customHeight="1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</row>
    <row r="25" spans="1:26" ht="15.75" customHeight="1">
      <c r="A25" s="193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ht="15.75" customHeight="1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ht="15.75" customHeight="1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ht="15.75" customHeight="1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ht="15.75" customHeight="1">
      <c r="A29" s="193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ht="15.75" customHeight="1">
      <c r="A30" s="193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ht="15.75" customHeight="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ht="15.75" customHeight="1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ht="15.75" customHeight="1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ht="15.75" customHeight="1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ht="15.75" customHeight="1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ht="15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ht="15.75" customHeight="1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ht="15.75" customHeight="1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ht="15.75" customHeight="1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ht="15.75" customHeight="1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ht="15.75" customHeight="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ht="15.75" customHeight="1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ht="15.75" customHeight="1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ht="15.75" customHeight="1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ht="15.75" customHeight="1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ht="15.75" customHeight="1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ht="15.75" customHeight="1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</row>
    <row r="48" spans="1:26" ht="15.75" customHeight="1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</row>
    <row r="49" spans="1:26" ht="15.75" customHeight="1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</row>
    <row r="50" spans="1:26" ht="15.75" customHeight="1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</row>
    <row r="51" spans="1:26" ht="15.75" customHeight="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</row>
    <row r="52" spans="1:26" ht="15.75" customHeight="1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</row>
    <row r="53" spans="1:26" ht="15.75" customHeight="1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</row>
    <row r="54" spans="1:26" ht="15.75" customHeight="1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</row>
    <row r="55" spans="1:26" ht="15.75" customHeight="1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</row>
    <row r="56" spans="1:26" ht="15.75" customHeight="1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</row>
    <row r="57" spans="1:26" ht="15.75" customHeight="1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</row>
    <row r="58" spans="1:26" ht="15.75" customHeight="1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</row>
    <row r="59" spans="1:26" ht="15.75" customHeight="1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</row>
    <row r="60" spans="1:26" ht="15.75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</row>
    <row r="61" spans="1:26" ht="15.75" customHeight="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</row>
    <row r="62" spans="1:26" ht="15.75" customHeight="1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</row>
    <row r="63" spans="1:26" ht="15.75" customHeight="1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</row>
    <row r="64" spans="1:26" ht="15.75" customHeight="1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</row>
    <row r="65" spans="1:26" ht="15.75" customHeight="1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</row>
    <row r="66" spans="1:26" ht="15.75" customHeight="1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</row>
    <row r="67" spans="1:26" ht="15.75" customHeight="1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</row>
    <row r="68" spans="1:26" ht="15.75" customHeight="1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</row>
    <row r="69" spans="1:26" ht="15.75" customHeight="1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</row>
    <row r="70" spans="1:26" ht="15.75" customHeight="1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</row>
    <row r="71" spans="1:26" ht="15.75" customHeight="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</row>
    <row r="72" spans="1:26" ht="15.75" customHeight="1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</row>
    <row r="73" spans="1:26" ht="15.75" customHeight="1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</row>
    <row r="74" spans="1:26" ht="15.75" customHeight="1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</row>
    <row r="75" spans="1:26" ht="15.75" customHeight="1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</row>
    <row r="76" spans="1:26" ht="15.75" customHeight="1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</row>
    <row r="77" spans="1:26" ht="15.75" customHeight="1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</row>
    <row r="78" spans="1:26" ht="15.75" customHeight="1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</row>
    <row r="79" spans="1:26" ht="15.75" customHeight="1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</row>
    <row r="80" spans="1:26" ht="15.75" customHeight="1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</row>
    <row r="81" spans="1:26" ht="15.75" customHeight="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</row>
    <row r="82" spans="1:26" ht="15.75" customHeight="1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</row>
    <row r="83" spans="1:26" ht="15.75" customHeight="1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</row>
    <row r="84" spans="1:26" ht="15.75" customHeight="1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</row>
    <row r="85" spans="1:26" ht="15.75" customHeight="1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</row>
    <row r="86" spans="1:26" ht="15.75" customHeight="1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</row>
    <row r="87" spans="1:26" ht="15.75" customHeight="1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</row>
    <row r="88" spans="1:26" ht="15.75" customHeight="1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</row>
    <row r="89" spans="1:26" ht="15.75" customHeight="1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</row>
    <row r="90" spans="1:26" ht="15.75" customHeight="1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</row>
    <row r="91" spans="1:26" ht="15.75" customHeight="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</row>
    <row r="92" spans="1:26" ht="15.75" customHeight="1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</row>
    <row r="93" spans="1:26" ht="15.75" customHeight="1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</row>
    <row r="94" spans="1:26" ht="15.75" customHeight="1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</row>
    <row r="95" spans="1:26" ht="15.75" customHeight="1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</row>
    <row r="96" spans="1:26" ht="15.75" customHeight="1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</row>
    <row r="97" spans="1:26" ht="15.75" customHeight="1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</row>
    <row r="98" spans="1:26" ht="15.75" customHeight="1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</row>
    <row r="99" spans="1:26" ht="15.75" customHeight="1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</row>
    <row r="100" spans="1:26" ht="15.75" customHeight="1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</row>
    <row r="101" spans="1:26" ht="15.75" customHeight="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</row>
    <row r="102" spans="1:26" ht="15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</row>
    <row r="103" spans="1:26" ht="15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</row>
    <row r="104" spans="1:26" ht="15.75" customHeight="1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</row>
    <row r="105" spans="1:26" ht="15.75" customHeight="1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</row>
    <row r="106" spans="1:26" ht="15.75" customHeight="1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</row>
    <row r="107" spans="1:26" ht="15.75" customHeight="1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</row>
    <row r="108" spans="1:26" ht="15.75" customHeight="1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</row>
    <row r="109" spans="1:26" ht="15.75" customHeight="1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</row>
    <row r="110" spans="1:26" ht="15.75" customHeight="1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</row>
    <row r="111" spans="1:26" ht="15.75" customHeight="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</row>
    <row r="112" spans="1:26" ht="15.75" customHeight="1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</row>
    <row r="113" spans="1:26" ht="15.75" customHeight="1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</row>
    <row r="114" spans="1:26" ht="15.75" customHeight="1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</row>
    <row r="115" spans="1:26" ht="15.75" customHeight="1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</row>
    <row r="116" spans="1:26" ht="15.75" customHeight="1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</row>
    <row r="117" spans="1:26" ht="15.75" customHeight="1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</row>
    <row r="118" spans="1:26" ht="15.75" customHeight="1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</row>
    <row r="119" spans="1:26" ht="15.75" customHeight="1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</row>
    <row r="120" spans="1:26" ht="15.75" customHeight="1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</row>
    <row r="121" spans="1:26" ht="15.75" customHeight="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</row>
    <row r="122" spans="1:26" ht="15.75" customHeight="1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</row>
    <row r="123" spans="1:26" ht="15.75" customHeight="1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</row>
    <row r="124" spans="1:26" ht="15.75" customHeight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</row>
    <row r="125" spans="1:26" ht="15.75" customHeight="1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</row>
    <row r="126" spans="1:26" ht="15.75" customHeight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</row>
    <row r="127" spans="1:26" ht="15.75" customHeight="1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</row>
    <row r="128" spans="1:26" ht="15.75" customHeight="1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</row>
    <row r="129" spans="1:26" ht="15.75" customHeight="1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</row>
    <row r="130" spans="1:26" ht="15.75" customHeight="1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</row>
    <row r="131" spans="1:26" ht="15.75" customHeight="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</row>
    <row r="132" spans="1:26" ht="15.75" customHeight="1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</row>
    <row r="133" spans="1:26" ht="15.75" customHeight="1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</row>
    <row r="134" spans="1:26" ht="15.75" customHeight="1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</row>
    <row r="135" spans="1:26" ht="15.75" customHeight="1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</row>
    <row r="136" spans="1:26" ht="15.75" customHeight="1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</row>
    <row r="137" spans="1:26" ht="15.75" customHeight="1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</row>
    <row r="138" spans="1:26" ht="15.75" customHeight="1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</row>
    <row r="139" spans="1:26" ht="15.75" customHeight="1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</row>
    <row r="140" spans="1:26" ht="15.75" customHeight="1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</row>
    <row r="141" spans="1:26" ht="15.75" customHeight="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</row>
    <row r="142" spans="1:26" ht="15.75" customHeight="1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</row>
    <row r="143" spans="1:26" ht="15.75" customHeight="1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</row>
    <row r="144" spans="1:26" ht="15.75" customHeight="1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</row>
    <row r="145" spans="1:26" ht="15.75" customHeight="1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</row>
    <row r="146" spans="1:26" ht="15.75" customHeight="1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</row>
    <row r="147" spans="1:26" ht="15.75" customHeight="1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</row>
    <row r="148" spans="1:26" ht="15.75" customHeight="1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</row>
    <row r="149" spans="1:26" ht="15.75" customHeight="1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</row>
    <row r="150" spans="1:26" ht="15.75" customHeight="1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</row>
    <row r="151" spans="1:26" ht="15.75" customHeight="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</row>
    <row r="152" spans="1:26" ht="15.75" customHeight="1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</row>
    <row r="153" spans="1:26" ht="15.75" customHeight="1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</row>
    <row r="154" spans="1:26" ht="15.75" customHeight="1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</row>
    <row r="155" spans="1:26" ht="15.75" customHeight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</row>
    <row r="156" spans="1:26" ht="15.75" customHeight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</row>
    <row r="157" spans="1:26" ht="15.75" customHeight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</row>
    <row r="158" spans="1:26" ht="15.75" customHeight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</row>
    <row r="159" spans="1:26" ht="15.75" customHeight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</row>
    <row r="160" spans="1:26" ht="15.75" customHeight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</row>
    <row r="161" spans="1:26" ht="15.75" customHeight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</row>
    <row r="162" spans="1:26" ht="15.75" customHeight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</row>
    <row r="163" spans="1:26" ht="15.75" customHeight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</row>
    <row r="164" spans="1:26" ht="15.75" customHeight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</row>
    <row r="165" spans="1:26" ht="15.75" customHeight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</row>
    <row r="166" spans="1:26" ht="15.75" customHeight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</row>
    <row r="167" spans="1:26" ht="15.75" customHeight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</row>
    <row r="168" spans="1:26" ht="15.75" customHeight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</row>
    <row r="169" spans="1:26" ht="15.75" customHeight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</row>
    <row r="170" spans="1:26" ht="15.75" customHeight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</row>
    <row r="171" spans="1:26" ht="15.75" customHeight="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</row>
    <row r="172" spans="1:26" ht="15.75" customHeight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</row>
    <row r="173" spans="1:26" ht="15.75" customHeight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</row>
    <row r="174" spans="1:26" ht="15.75" customHeight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</row>
    <row r="175" spans="1:26" ht="15.75" customHeight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</row>
    <row r="176" spans="1:26" ht="15.75" customHeight="1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</row>
    <row r="177" spans="1:26" ht="15.75" customHeight="1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</row>
    <row r="178" spans="1:26" ht="15.75" customHeight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</row>
    <row r="179" spans="1:26" ht="15.75" customHeight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</row>
    <row r="180" spans="1:26" ht="15.75" customHeight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</row>
    <row r="181" spans="1:26" ht="15.75" customHeight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</row>
    <row r="182" spans="1:26" ht="15.75" customHeight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</row>
    <row r="183" spans="1:26" ht="15.75" customHeight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</row>
    <row r="184" spans="1:26" ht="15.75" customHeight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</row>
    <row r="185" spans="1:26" ht="15.75" customHeight="1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</row>
    <row r="186" spans="1:26" ht="15.75" customHeight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</row>
    <row r="187" spans="1:26" ht="15.75" customHeight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</row>
    <row r="188" spans="1:26" ht="15.75" customHeight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</row>
    <row r="189" spans="1:26" ht="15.75" customHeight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</row>
    <row r="190" spans="1:26" ht="15.75" customHeight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</row>
    <row r="191" spans="1:26" ht="15.75" customHeight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</row>
    <row r="192" spans="1:26" ht="15.75" customHeight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</row>
    <row r="193" spans="1:26" ht="15.75" customHeight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</row>
    <row r="194" spans="1:26" ht="15.75" customHeight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</row>
    <row r="195" spans="1:26" ht="15.75" customHeight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</row>
    <row r="196" spans="1:26" ht="15.75" customHeight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</row>
    <row r="197" spans="1:26" ht="15.75" customHeight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</row>
    <row r="198" spans="1:26" ht="15.75" customHeight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</row>
    <row r="199" spans="1:26" ht="15.75" customHeight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</row>
    <row r="200" spans="1:26" ht="15.75" customHeight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</row>
    <row r="201" spans="1:26" ht="15.75" customHeight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</row>
    <row r="202" spans="1:26" ht="15.75" customHeight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</row>
    <row r="203" spans="1:26" ht="15.75" customHeight="1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</row>
    <row r="204" spans="1:26" ht="15.75" customHeight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</row>
    <row r="205" spans="1:26" ht="15.75" customHeight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</row>
    <row r="206" spans="1:26" ht="15.75" customHeight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</row>
    <row r="207" spans="1:26" ht="15.75" customHeight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</row>
    <row r="208" spans="1:26" ht="15.75" customHeight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</row>
    <row r="209" spans="1:26" ht="15.75" customHeight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</row>
    <row r="210" spans="1:26" ht="15.75" customHeight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</row>
    <row r="211" spans="1:26" ht="15.75" customHeight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</row>
    <row r="212" spans="1:26" ht="15.75" customHeight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</row>
    <row r="213" spans="1:26" ht="15.75" customHeight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</row>
    <row r="214" spans="1:26" ht="15.75" customHeight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</row>
    <row r="215" spans="1:26" ht="15.75" customHeight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</row>
    <row r="216" spans="1:26" ht="15.75" customHeight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</row>
    <row r="217" spans="1:26" ht="15.75" customHeight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</row>
    <row r="218" spans="1:26" ht="15.75" customHeight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</row>
    <row r="219" spans="1:26" ht="15.75" customHeight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</row>
    <row r="220" spans="1:26" ht="15.75" customHeight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</row>
    <row r="221" spans="1:26" ht="15.75" customHeight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</row>
    <row r="222" spans="1:26" ht="15.75" customHeight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</row>
    <row r="223" spans="1:26" ht="15.75" customHeight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</row>
    <row r="224" spans="1:26" ht="15.75" customHeight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</row>
    <row r="225" spans="1:26" ht="15.75" customHeight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</row>
    <row r="226" spans="1:26" ht="15.75" customHeight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</row>
    <row r="227" spans="1:26" ht="15.75" customHeight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</row>
    <row r="228" spans="1:26" ht="15.75" customHeight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</row>
    <row r="229" spans="1:26" ht="15.75" customHeight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</row>
    <row r="230" spans="1:26" ht="15.75" customHeight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</row>
    <row r="231" spans="1:26" ht="15.75" customHeight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</row>
    <row r="232" spans="1:26" ht="15.75" customHeight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</row>
    <row r="233" spans="1:26" ht="15.75" customHeight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</row>
    <row r="234" spans="1:26" ht="15.75" customHeight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</row>
    <row r="235" spans="1:26" ht="15.75" customHeight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</row>
    <row r="236" spans="1:26" ht="15.75" customHeight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</row>
    <row r="237" spans="1:26" ht="15.75" customHeight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</row>
    <row r="238" spans="1:26" ht="15.75" customHeight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</row>
    <row r="239" spans="1:26" ht="15.75" customHeight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</row>
    <row r="240" spans="1:26" ht="15.75" customHeight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</row>
    <row r="241" spans="1:26" ht="15.75" customHeight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</row>
    <row r="242" spans="1:26" ht="15.75" customHeight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</row>
    <row r="243" spans="1:26" ht="15.75" customHeight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</row>
    <row r="244" spans="1:26" ht="15.75" customHeight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</row>
    <row r="245" spans="1:26" ht="15.75" customHeight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</row>
    <row r="246" spans="1:26" ht="15.75" customHeight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</row>
    <row r="247" spans="1:26" ht="15.75" customHeight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</row>
    <row r="248" spans="1:26" ht="15.75" customHeight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</row>
    <row r="249" spans="1:26" ht="15.75" customHeight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</row>
    <row r="250" spans="1:26" ht="15.75" customHeight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</row>
    <row r="251" spans="1:26" ht="15.75" customHeight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</row>
    <row r="252" spans="1:26" ht="15.75" customHeight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</row>
    <row r="253" spans="1:26" ht="15.75" customHeight="1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</row>
    <row r="254" spans="1:26" ht="15.75" customHeight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</row>
    <row r="255" spans="1:26" ht="15.75" customHeight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</row>
    <row r="256" spans="1:26" ht="15.75" customHeight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</row>
    <row r="257" spans="1:26" ht="15.75" customHeight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</row>
    <row r="258" spans="1:26" ht="15.75" customHeight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</row>
    <row r="259" spans="1:26" ht="15.75" customHeight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</row>
    <row r="260" spans="1:26" ht="15.75" customHeight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</row>
    <row r="261" spans="1:26" ht="15.75" customHeight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</row>
    <row r="262" spans="1:26" ht="15.75" customHeight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</row>
    <row r="263" spans="1:26" ht="15.75" customHeight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</row>
    <row r="264" spans="1:26" ht="15.75" customHeight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</row>
    <row r="265" spans="1:26" ht="15.75" customHeight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</row>
    <row r="266" spans="1:26" ht="15.75" customHeight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</row>
    <row r="267" spans="1:26" ht="15.75" customHeight="1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</row>
    <row r="268" spans="1:26" ht="15.75" customHeight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</row>
    <row r="269" spans="1:26" ht="15.75" customHeight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</row>
    <row r="270" spans="1:26" ht="15.75" customHeight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</row>
    <row r="271" spans="1:26" ht="15.75" customHeight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</row>
    <row r="272" spans="1:26" ht="15.75" customHeight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</row>
    <row r="273" spans="1:26" ht="15.75" customHeight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</row>
    <row r="274" spans="1:26" ht="15.75" customHeight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</row>
    <row r="275" spans="1:26" ht="15.75" customHeight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</row>
    <row r="276" spans="1:26" ht="15.75" customHeight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</row>
    <row r="277" spans="1:26" ht="15.75" customHeight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</row>
    <row r="278" spans="1:26" ht="15.75" customHeight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</row>
    <row r="279" spans="1:26" ht="15.75" customHeight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</row>
    <row r="280" spans="1:26" ht="15.75" customHeight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</row>
    <row r="281" spans="1:26" ht="15.75" customHeight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</row>
    <row r="282" spans="1:26" ht="15.75" customHeight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</row>
    <row r="283" spans="1:26" ht="15.75" customHeight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</row>
    <row r="284" spans="1:26" ht="15.75" customHeight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</row>
    <row r="285" spans="1:26" ht="15.75" customHeight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</row>
    <row r="286" spans="1:26" ht="15.75" customHeight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</row>
    <row r="287" spans="1:26" ht="15.75" customHeight="1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</row>
    <row r="288" spans="1:26" ht="15.75" customHeight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</row>
    <row r="289" spans="1:26" ht="15.75" customHeight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</row>
    <row r="290" spans="1:26" ht="15.75" customHeight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</row>
    <row r="291" spans="1:26" ht="15.75" customHeight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</row>
    <row r="292" spans="1:26" ht="15.75" customHeight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</row>
    <row r="293" spans="1:26" ht="15.75" customHeight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</row>
    <row r="294" spans="1:26" ht="15.75" customHeight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</row>
    <row r="295" spans="1:26" ht="15.75" customHeight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</row>
    <row r="296" spans="1:26" ht="15.75" customHeight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</row>
    <row r="297" spans="1:26" ht="15.75" customHeight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</row>
    <row r="298" spans="1:26" ht="15.75" customHeight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</row>
    <row r="299" spans="1:26" ht="15.75" customHeight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</row>
    <row r="300" spans="1:26" ht="15.75" customHeight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</row>
    <row r="301" spans="1:26" ht="15.75" customHeight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</row>
    <row r="302" spans="1:26" ht="15.75" customHeight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</row>
    <row r="303" spans="1:26" ht="15.75" customHeight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</row>
    <row r="304" spans="1:26" ht="15.75" customHeight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</row>
    <row r="305" spans="1:26" ht="15.75" customHeight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</row>
    <row r="306" spans="1:26" ht="15.75" customHeight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</row>
    <row r="307" spans="1:26" ht="15.75" customHeight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</row>
    <row r="308" spans="1:26" ht="15.75" customHeight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</row>
    <row r="309" spans="1:26" ht="15.75" customHeight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</row>
    <row r="310" spans="1:26" ht="15.75" customHeight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</row>
    <row r="311" spans="1:26" ht="15.75" customHeight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</row>
    <row r="312" spans="1:26" ht="15.75" customHeight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</row>
    <row r="313" spans="1:26" ht="15.75" customHeight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</row>
    <row r="314" spans="1:26" ht="15.75" customHeight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</row>
    <row r="315" spans="1:26" ht="15.75" customHeight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</row>
    <row r="316" spans="1:26" ht="15.75" customHeight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</row>
    <row r="317" spans="1:26" ht="15.75" customHeight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</row>
    <row r="318" spans="1:26" ht="15.75" customHeight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</row>
    <row r="319" spans="1:26" ht="15.75" customHeight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</row>
    <row r="320" spans="1:26" ht="15.75" customHeight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</row>
    <row r="321" spans="1:26" ht="15.75" customHeight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</row>
    <row r="322" spans="1:26" ht="15.75" customHeight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</row>
    <row r="323" spans="1:26" ht="15.75" customHeight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</row>
    <row r="324" spans="1:26" ht="15.75" customHeight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</row>
    <row r="325" spans="1:26" ht="15.75" customHeight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</row>
    <row r="326" spans="1:26" ht="15.75" customHeight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</row>
    <row r="327" spans="1:26" ht="15.75" customHeight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</row>
    <row r="328" spans="1:26" ht="15.75" customHeight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</row>
    <row r="329" spans="1:26" ht="15.75" customHeight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</row>
    <row r="330" spans="1:26" ht="15.75" customHeight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</row>
    <row r="331" spans="1:26" ht="15.75" customHeight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</row>
    <row r="332" spans="1:26" ht="15.75" customHeight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</row>
    <row r="333" spans="1:26" ht="15.75" customHeight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</row>
    <row r="334" spans="1:26" ht="15.75" customHeight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</row>
    <row r="335" spans="1:26" ht="15.75" customHeight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</row>
    <row r="336" spans="1:26" ht="15.75" customHeight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</row>
    <row r="337" spans="1:26" ht="15.75" customHeight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</row>
    <row r="338" spans="1:26" ht="15.75" customHeight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</row>
    <row r="339" spans="1:26" ht="15.75" customHeight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</row>
    <row r="340" spans="1:26" ht="15.75" customHeight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</row>
    <row r="341" spans="1:26" ht="15.75" customHeight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</row>
    <row r="342" spans="1:26" ht="15.75" customHeight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</row>
    <row r="343" spans="1:26" ht="15.75" customHeight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</row>
    <row r="344" spans="1:26" ht="15.75" customHeight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</row>
    <row r="345" spans="1:26" ht="15.75" customHeight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</row>
    <row r="346" spans="1:26" ht="15.75" customHeight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</row>
    <row r="347" spans="1:26" ht="15.75" customHeight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</row>
    <row r="348" spans="1:26" ht="15.75" customHeight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</row>
    <row r="349" spans="1:26" ht="15.75" customHeight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</row>
    <row r="350" spans="1:26" ht="15.75" customHeight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</row>
    <row r="351" spans="1:26" ht="15.75" customHeight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</row>
    <row r="352" spans="1:26" ht="15.75" customHeight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</row>
    <row r="353" spans="1:26" ht="15.75" customHeight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</row>
    <row r="354" spans="1:26" ht="15.75" customHeight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</row>
    <row r="355" spans="1:26" ht="15.75" customHeight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</row>
    <row r="356" spans="1:26" ht="15.75" customHeight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</row>
    <row r="357" spans="1:26" ht="15.75" customHeight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</row>
    <row r="358" spans="1:26" ht="15.75" customHeight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</row>
    <row r="359" spans="1:26" ht="15.75" customHeight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</row>
    <row r="360" spans="1:26" ht="15.75" customHeight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</row>
    <row r="361" spans="1:26" ht="15.75" customHeight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</row>
    <row r="362" spans="1:26" ht="15.75" customHeight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</row>
    <row r="363" spans="1:26" ht="15.75" customHeight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</row>
    <row r="364" spans="1:26" ht="15.75" customHeight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</row>
    <row r="365" spans="1:26" ht="15.75" customHeight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</row>
    <row r="366" spans="1:26" ht="15.75" customHeight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</row>
    <row r="367" spans="1:26" ht="15.75" customHeight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</row>
    <row r="368" spans="1:26" ht="15.75" customHeight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</row>
    <row r="369" spans="1:26" ht="15.75" customHeight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</row>
    <row r="370" spans="1:26" ht="15.75" customHeight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</row>
    <row r="371" spans="1:26" ht="15.75" customHeight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</row>
    <row r="372" spans="1:26" ht="15.75" customHeight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</row>
    <row r="373" spans="1:26" ht="15.75" customHeight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</row>
    <row r="374" spans="1:26" ht="15.75" customHeight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</row>
    <row r="375" spans="1:26" ht="15.75" customHeight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</row>
    <row r="376" spans="1:26" ht="15.75" customHeight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</row>
    <row r="377" spans="1:26" ht="15.75" customHeight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</row>
    <row r="378" spans="1:26" ht="15.75" customHeight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</row>
    <row r="379" spans="1:26" ht="15.75" customHeight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</row>
    <row r="380" spans="1:26" ht="15.75" customHeight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</row>
    <row r="381" spans="1:26" ht="15.75" customHeight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</row>
    <row r="382" spans="1:26" ht="15.75" customHeight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</row>
    <row r="383" spans="1:26" ht="15.75" customHeight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</row>
    <row r="384" spans="1:26" ht="15.75" customHeight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</row>
    <row r="385" spans="1:26" ht="15.75" customHeight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</row>
    <row r="386" spans="1:26" ht="15.75" customHeight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</row>
    <row r="387" spans="1:26" ht="15.75" customHeight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</row>
    <row r="388" spans="1:26" ht="15.75" customHeight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</row>
    <row r="389" spans="1:26" ht="15.75" customHeight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</row>
    <row r="390" spans="1:26" ht="15.75" customHeight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</row>
    <row r="391" spans="1:26" ht="15.75" customHeight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</row>
    <row r="392" spans="1:26" ht="15.75" customHeight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</row>
    <row r="393" spans="1:26" ht="15.75" customHeight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</row>
    <row r="394" spans="1:26" ht="15.75" customHeight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</row>
    <row r="395" spans="1:26" ht="15.75" customHeight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</row>
    <row r="396" spans="1:26" ht="15.75" customHeight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</row>
    <row r="397" spans="1:26" ht="15.75" customHeight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</row>
    <row r="398" spans="1:26" ht="15.75" customHeight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</row>
    <row r="399" spans="1:26" ht="15.75" customHeight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</row>
    <row r="400" spans="1:26" ht="15.75" customHeight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</row>
    <row r="401" spans="1:26" ht="15.75" customHeight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</row>
    <row r="402" spans="1:26" ht="15.75" customHeight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</row>
    <row r="403" spans="1:26" ht="15.75" customHeight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</row>
    <row r="404" spans="1:26" ht="15.75" customHeight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</row>
    <row r="405" spans="1:26" ht="15.75" customHeight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</row>
    <row r="406" spans="1:26" ht="15.75" customHeight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</row>
    <row r="407" spans="1:26" ht="15.75" customHeight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</row>
    <row r="408" spans="1:26" ht="15.75" customHeight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</row>
    <row r="409" spans="1:26" ht="15.75" customHeight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</row>
    <row r="410" spans="1:26" ht="15.75" customHeight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</row>
    <row r="411" spans="1:26" ht="15.75" customHeight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</row>
    <row r="412" spans="1:26" ht="15.75" customHeight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</row>
    <row r="413" spans="1:26" ht="15.75" customHeight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</row>
    <row r="414" spans="1:26" ht="15.75" customHeight="1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</row>
    <row r="415" spans="1:26" ht="15.75" customHeight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</row>
    <row r="416" spans="1:26" ht="15.75" customHeight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</row>
    <row r="417" spans="1:26" ht="15.75" customHeight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</row>
    <row r="418" spans="1:26" ht="15.75" customHeight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</row>
    <row r="419" spans="1:26" ht="15.75" customHeight="1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</row>
    <row r="420" spans="1:26" ht="15.75" customHeight="1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</row>
    <row r="421" spans="1:26" ht="15.75" customHeight="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</row>
    <row r="422" spans="1:26" ht="15.75" customHeight="1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</row>
    <row r="423" spans="1:26" ht="15.75" customHeight="1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</row>
    <row r="424" spans="1:26" ht="15.75" customHeight="1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</row>
    <row r="425" spans="1:26" ht="15.75" customHeight="1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</row>
    <row r="426" spans="1:26" ht="15.75" customHeight="1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</row>
    <row r="427" spans="1:26" ht="15.75" customHeight="1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</row>
    <row r="428" spans="1:26" ht="15.75" customHeight="1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</row>
    <row r="429" spans="1:26" ht="15.75" customHeight="1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</row>
    <row r="430" spans="1:26" ht="15.75" customHeight="1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</row>
    <row r="431" spans="1:26" ht="15.75" customHeight="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</row>
    <row r="432" spans="1:26" ht="15.75" customHeight="1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</row>
    <row r="433" spans="1:26" ht="15.75" customHeight="1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</row>
    <row r="434" spans="1:26" ht="15.75" customHeight="1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</row>
    <row r="435" spans="1:26" ht="15.75" customHeight="1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</row>
    <row r="436" spans="1:26" ht="15.75" customHeight="1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</row>
    <row r="437" spans="1:26" ht="15.75" customHeight="1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</row>
    <row r="438" spans="1:26" ht="15.75" customHeight="1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</row>
    <row r="439" spans="1:26" ht="15.75" customHeight="1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</row>
    <row r="440" spans="1:26" ht="15.75" customHeight="1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</row>
    <row r="441" spans="1:26" ht="15.75" customHeight="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</row>
    <row r="442" spans="1:26" ht="15.75" customHeight="1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</row>
    <row r="443" spans="1:26" ht="15.75" customHeight="1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</row>
    <row r="444" spans="1:26" ht="15.75" customHeight="1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</row>
    <row r="445" spans="1:26" ht="15.75" customHeight="1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</row>
    <row r="446" spans="1:26" ht="15.75" customHeight="1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</row>
    <row r="447" spans="1:26" ht="15.75" customHeight="1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</row>
    <row r="448" spans="1:26" ht="15.75" customHeight="1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</row>
    <row r="449" spans="1:26" ht="15.75" customHeight="1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</row>
    <row r="450" spans="1:26" ht="15.75" customHeight="1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</row>
    <row r="451" spans="1:26" ht="15.75" customHeight="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</row>
    <row r="452" spans="1:26" ht="15.75" customHeight="1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</row>
    <row r="453" spans="1:26" ht="15.75" customHeight="1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</row>
    <row r="454" spans="1:26" ht="15.75" customHeight="1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</row>
    <row r="455" spans="1:26" ht="15.75" customHeight="1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</row>
    <row r="456" spans="1:26" ht="15.75" customHeight="1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</row>
    <row r="457" spans="1:26" ht="15.75" customHeight="1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</row>
    <row r="458" spans="1:26" ht="15.75" customHeight="1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</row>
    <row r="459" spans="1:26" ht="15.75" customHeight="1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</row>
    <row r="460" spans="1:26" ht="15.75" customHeight="1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</row>
    <row r="461" spans="1:26" ht="15.75" customHeight="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</row>
    <row r="462" spans="1:26" ht="15.75" customHeight="1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</row>
    <row r="463" spans="1:26" ht="15.75" customHeight="1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</row>
    <row r="464" spans="1:26" ht="15.75" customHeight="1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</row>
    <row r="465" spans="1:26" ht="15.75" customHeight="1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</row>
    <row r="466" spans="1:26" ht="15.75" customHeight="1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</row>
    <row r="467" spans="1:26" ht="15.75" customHeight="1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</row>
    <row r="468" spans="1:26" ht="15.75" customHeight="1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</row>
    <row r="469" spans="1:26" ht="15.75" customHeight="1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</row>
    <row r="470" spans="1:26" ht="15.75" customHeight="1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</row>
    <row r="471" spans="1:26" ht="15.75" customHeight="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</row>
    <row r="472" spans="1:26" ht="15.75" customHeight="1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</row>
    <row r="473" spans="1:26" ht="15.75" customHeight="1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</row>
    <row r="474" spans="1:26" ht="15.75" customHeight="1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</row>
    <row r="475" spans="1:26" ht="15.75" customHeight="1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</row>
    <row r="476" spans="1:26" ht="15.75" customHeight="1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</row>
    <row r="477" spans="1:26" ht="15.75" customHeight="1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</row>
    <row r="478" spans="1:26" ht="15.75" customHeight="1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</row>
    <row r="479" spans="1:26" ht="15.75" customHeight="1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</row>
    <row r="480" spans="1:26" ht="15.75" customHeight="1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</row>
    <row r="481" spans="1:26" ht="15.75" customHeight="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</row>
    <row r="482" spans="1:26" ht="15.75" customHeight="1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</row>
    <row r="483" spans="1:26" ht="15.75" customHeight="1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</row>
    <row r="484" spans="1:26" ht="15.75" customHeight="1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</row>
    <row r="485" spans="1:26" ht="15.75" customHeight="1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</row>
    <row r="486" spans="1:26" ht="15.75" customHeight="1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</row>
    <row r="487" spans="1:26" ht="15.75" customHeight="1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</row>
    <row r="488" spans="1:26" ht="15.75" customHeight="1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</row>
    <row r="489" spans="1:26" ht="15.75" customHeight="1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</row>
    <row r="490" spans="1:26" ht="15.75" customHeight="1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</row>
    <row r="491" spans="1:26" ht="15.75" customHeight="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</row>
    <row r="492" spans="1:26" ht="15.75" customHeight="1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</row>
    <row r="493" spans="1:26" ht="15.75" customHeight="1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</row>
    <row r="494" spans="1:26" ht="15.75" customHeight="1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</row>
    <row r="495" spans="1:26" ht="15.75" customHeight="1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</row>
    <row r="496" spans="1:26" ht="15.75" customHeight="1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</row>
    <row r="497" spans="1:26" ht="15.75" customHeight="1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</row>
    <row r="498" spans="1:26" ht="15.75" customHeight="1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</row>
    <row r="499" spans="1:26" ht="15.75" customHeight="1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</row>
    <row r="500" spans="1:26" ht="15.75" customHeight="1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</row>
    <row r="501" spans="1:26" ht="15.75" customHeight="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</row>
    <row r="502" spans="1:26" ht="15.75" customHeight="1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</row>
    <row r="503" spans="1:26" ht="15.75" customHeight="1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</row>
    <row r="504" spans="1:26" ht="15.75" customHeight="1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</row>
    <row r="505" spans="1:26" ht="15.75" customHeight="1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</row>
    <row r="506" spans="1:26" ht="15.75" customHeight="1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</row>
    <row r="507" spans="1:26" ht="15.75" customHeight="1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</row>
    <row r="508" spans="1:26" ht="15.75" customHeight="1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</row>
    <row r="509" spans="1:26" ht="15.75" customHeight="1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</row>
    <row r="510" spans="1:26" ht="15.75" customHeight="1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</row>
    <row r="511" spans="1:26" ht="15.75" customHeight="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</row>
    <row r="512" spans="1:26" ht="15.75" customHeight="1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</row>
    <row r="513" spans="1:26" ht="15.75" customHeight="1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</row>
    <row r="514" spans="1:26" ht="15.75" customHeight="1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</row>
    <row r="515" spans="1:26" ht="15.75" customHeight="1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</row>
    <row r="516" spans="1:26" ht="15.75" customHeight="1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</row>
    <row r="517" spans="1:26" ht="15.75" customHeight="1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</row>
    <row r="518" spans="1:26" ht="15.75" customHeight="1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</row>
    <row r="519" spans="1:26" ht="15.75" customHeight="1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</row>
    <row r="520" spans="1:26" ht="15.75" customHeight="1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</row>
    <row r="521" spans="1:26" ht="15.75" customHeight="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</row>
    <row r="522" spans="1:26" ht="15.75" customHeight="1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</row>
    <row r="523" spans="1:26" ht="15.75" customHeight="1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</row>
    <row r="524" spans="1:26" ht="15.75" customHeight="1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</row>
    <row r="525" spans="1:26" ht="15.75" customHeight="1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</row>
    <row r="526" spans="1:26" ht="15.75" customHeight="1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</row>
    <row r="527" spans="1:26" ht="15.75" customHeight="1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</row>
    <row r="528" spans="1:26" ht="15.75" customHeight="1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</row>
    <row r="529" spans="1:26" ht="15.75" customHeight="1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</row>
    <row r="530" spans="1:26" ht="15.75" customHeight="1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</row>
    <row r="531" spans="1:26" ht="15.75" customHeight="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</row>
    <row r="532" spans="1:26" ht="15.75" customHeight="1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</row>
    <row r="533" spans="1:26" ht="15.75" customHeight="1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</row>
    <row r="534" spans="1:26" ht="15.75" customHeight="1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</row>
    <row r="535" spans="1:26" ht="15.75" customHeight="1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</row>
    <row r="536" spans="1:26" ht="15.75" customHeight="1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</row>
    <row r="537" spans="1:26" ht="15.75" customHeight="1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</row>
    <row r="538" spans="1:26" ht="15.75" customHeight="1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</row>
    <row r="539" spans="1:26" ht="15.75" customHeight="1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</row>
    <row r="540" spans="1:26" ht="15.75" customHeight="1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</row>
    <row r="541" spans="1:26" ht="15.75" customHeight="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</row>
    <row r="542" spans="1:26" ht="15.75" customHeight="1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</row>
    <row r="543" spans="1:26" ht="15.75" customHeight="1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</row>
    <row r="544" spans="1:26" ht="15.75" customHeight="1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</row>
    <row r="545" spans="1:26" ht="15.75" customHeight="1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</row>
    <row r="546" spans="1:26" ht="15.75" customHeight="1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</row>
    <row r="547" spans="1:26" ht="15.75" customHeight="1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</row>
    <row r="548" spans="1:26" ht="15.75" customHeight="1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</row>
    <row r="549" spans="1:26" ht="15.75" customHeight="1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</row>
    <row r="550" spans="1:26" ht="15.75" customHeight="1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</row>
    <row r="551" spans="1:26" ht="15.75" customHeight="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</row>
    <row r="552" spans="1:26" ht="15.75" customHeight="1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</row>
    <row r="553" spans="1:26" ht="15.75" customHeight="1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</row>
    <row r="554" spans="1:26" ht="15.75" customHeight="1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</row>
    <row r="555" spans="1:26" ht="15.75" customHeight="1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</row>
    <row r="556" spans="1:26" ht="15.75" customHeight="1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</row>
    <row r="557" spans="1:26" ht="15.75" customHeight="1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</row>
    <row r="558" spans="1:26" ht="15.75" customHeight="1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</row>
    <row r="559" spans="1:26" ht="15.75" customHeight="1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</row>
    <row r="560" spans="1:26" ht="15.75" customHeight="1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</row>
    <row r="561" spans="1:26" ht="15.75" customHeight="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</row>
    <row r="562" spans="1:26" ht="15.75" customHeight="1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</row>
    <row r="563" spans="1:26" ht="15.75" customHeight="1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</row>
    <row r="564" spans="1:26" ht="15.75" customHeight="1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</row>
    <row r="565" spans="1:26" ht="15.75" customHeight="1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</row>
    <row r="566" spans="1:26" ht="15.75" customHeight="1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</row>
    <row r="567" spans="1:26" ht="15.75" customHeight="1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</row>
    <row r="568" spans="1:26" ht="15.75" customHeight="1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</row>
    <row r="569" spans="1:26" ht="15.75" customHeight="1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</row>
    <row r="570" spans="1:26" ht="15.75" customHeight="1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</row>
    <row r="571" spans="1:26" ht="15.75" customHeight="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</row>
    <row r="572" spans="1:26" ht="15.75" customHeight="1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</row>
    <row r="573" spans="1:26" ht="15.75" customHeight="1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</row>
    <row r="574" spans="1:26" ht="15.75" customHeight="1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</row>
    <row r="575" spans="1:26" ht="15.75" customHeight="1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</row>
    <row r="576" spans="1:26" ht="15.75" customHeight="1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</row>
    <row r="577" spans="1:26" ht="15.75" customHeight="1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</row>
    <row r="578" spans="1:26" ht="15.75" customHeight="1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</row>
    <row r="579" spans="1:26" ht="15.75" customHeight="1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</row>
    <row r="580" spans="1:26" ht="15.75" customHeight="1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</row>
    <row r="581" spans="1:26" ht="15.75" customHeight="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</row>
    <row r="582" spans="1:26" ht="15.75" customHeight="1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</row>
    <row r="583" spans="1:26" ht="15.75" customHeight="1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</row>
    <row r="584" spans="1:26" ht="15.75" customHeight="1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</row>
    <row r="585" spans="1:26" ht="15.75" customHeight="1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</row>
    <row r="586" spans="1:26" ht="15.75" customHeight="1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</row>
    <row r="587" spans="1:26" ht="15.75" customHeight="1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</row>
    <row r="588" spans="1:26" ht="15.75" customHeight="1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</row>
    <row r="589" spans="1:26" ht="15.75" customHeight="1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</row>
    <row r="590" spans="1:26" ht="15.75" customHeight="1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</row>
    <row r="591" spans="1:26" ht="15.75" customHeight="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</row>
    <row r="592" spans="1:26" ht="15.75" customHeight="1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</row>
    <row r="593" spans="1:26" ht="15.75" customHeight="1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</row>
    <row r="594" spans="1:26" ht="15.75" customHeight="1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</row>
    <row r="595" spans="1:26" ht="15.75" customHeight="1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</row>
    <row r="596" spans="1:26" ht="15.75" customHeight="1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</row>
    <row r="597" spans="1:26" ht="15.75" customHeight="1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</row>
    <row r="598" spans="1:26" ht="15.75" customHeight="1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</row>
    <row r="599" spans="1:26" ht="15.75" customHeight="1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</row>
    <row r="600" spans="1:26" ht="15.75" customHeight="1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</row>
    <row r="601" spans="1:26" ht="15.75" customHeight="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</row>
    <row r="602" spans="1:26" ht="15.75" customHeight="1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</row>
    <row r="603" spans="1:26" ht="15.75" customHeight="1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</row>
    <row r="604" spans="1:26" ht="15.75" customHeight="1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</row>
    <row r="605" spans="1:26" ht="15.75" customHeight="1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</row>
    <row r="606" spans="1:26" ht="15.75" customHeight="1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</row>
    <row r="607" spans="1:26" ht="15.75" customHeight="1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</row>
    <row r="608" spans="1:26" ht="15.75" customHeight="1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</row>
    <row r="609" spans="1:26" ht="15.75" customHeight="1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</row>
    <row r="610" spans="1:26" ht="15.75" customHeight="1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</row>
    <row r="611" spans="1:26" ht="15.75" customHeight="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</row>
    <row r="612" spans="1:26" ht="15.75" customHeight="1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</row>
    <row r="613" spans="1:26" ht="15.75" customHeight="1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</row>
    <row r="614" spans="1:26" ht="15.75" customHeight="1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</row>
    <row r="615" spans="1:26" ht="15.75" customHeight="1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</row>
    <row r="616" spans="1:26" ht="15.75" customHeight="1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</row>
    <row r="617" spans="1:26" ht="15.75" customHeight="1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</row>
    <row r="618" spans="1:26" ht="15.75" customHeight="1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</row>
    <row r="619" spans="1:26" ht="15.75" customHeight="1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</row>
    <row r="620" spans="1:26" ht="15.75" customHeight="1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</row>
    <row r="621" spans="1:26" ht="15.75" customHeight="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</row>
    <row r="622" spans="1:26" ht="15.75" customHeight="1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</row>
    <row r="623" spans="1:26" ht="15.75" customHeight="1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</row>
    <row r="624" spans="1:26" ht="15.75" customHeight="1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</row>
    <row r="625" spans="1:26" ht="15.75" customHeight="1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</row>
    <row r="626" spans="1:26" ht="15.75" customHeight="1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</row>
    <row r="627" spans="1:26" ht="15.75" customHeight="1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</row>
    <row r="628" spans="1:26" ht="15.75" customHeight="1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</row>
    <row r="629" spans="1:26" ht="15.75" customHeight="1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</row>
    <row r="630" spans="1:26" ht="15.75" customHeight="1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</row>
    <row r="631" spans="1:26" ht="15.75" customHeight="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</row>
    <row r="632" spans="1:26" ht="15.75" customHeight="1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</row>
    <row r="633" spans="1:26" ht="15.75" customHeight="1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</row>
    <row r="634" spans="1:26" ht="15.75" customHeight="1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</row>
    <row r="635" spans="1:26" ht="15.75" customHeight="1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</row>
    <row r="636" spans="1:26" ht="15.75" customHeight="1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</row>
    <row r="637" spans="1:26" ht="15.75" customHeight="1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</row>
    <row r="638" spans="1:26" ht="15.75" customHeight="1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</row>
    <row r="639" spans="1:26" ht="15.75" customHeight="1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</row>
    <row r="640" spans="1:26" ht="15.75" customHeight="1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</row>
    <row r="641" spans="1:26" ht="15.75" customHeight="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</row>
    <row r="642" spans="1:26" ht="15.75" customHeight="1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</row>
    <row r="643" spans="1:26" ht="15.75" customHeight="1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</row>
    <row r="644" spans="1:26" ht="15.75" customHeight="1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</row>
    <row r="645" spans="1:26" ht="15.75" customHeight="1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</row>
    <row r="646" spans="1:26" ht="15.75" customHeight="1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</row>
    <row r="647" spans="1:26" ht="15.75" customHeight="1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</row>
    <row r="648" spans="1:26" ht="15.75" customHeight="1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</row>
    <row r="649" spans="1:26" ht="15.75" customHeight="1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</row>
    <row r="650" spans="1:26" ht="15.75" customHeight="1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</row>
    <row r="651" spans="1:26" ht="15.75" customHeight="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</row>
    <row r="652" spans="1:26" ht="15.75" customHeight="1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</row>
    <row r="653" spans="1:26" ht="15.75" customHeight="1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</row>
    <row r="654" spans="1:26" ht="15.75" customHeight="1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</row>
    <row r="655" spans="1:26" ht="15.75" customHeight="1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</row>
    <row r="656" spans="1:26" ht="15.75" customHeight="1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</row>
    <row r="657" spans="1:26" ht="15.75" customHeight="1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</row>
    <row r="658" spans="1:26" ht="15.75" customHeight="1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</row>
    <row r="659" spans="1:26" ht="15.75" customHeight="1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</row>
    <row r="660" spans="1:26" ht="15.75" customHeight="1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</row>
    <row r="661" spans="1:26" ht="15.75" customHeight="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</row>
    <row r="662" spans="1:26" ht="15.75" customHeight="1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</row>
    <row r="663" spans="1:26" ht="15.75" customHeight="1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</row>
    <row r="664" spans="1:26" ht="15.75" customHeight="1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</row>
    <row r="665" spans="1:26" ht="15.75" customHeight="1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</row>
    <row r="666" spans="1:26" ht="15.75" customHeight="1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</row>
    <row r="667" spans="1:26" ht="15.75" customHeight="1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</row>
    <row r="668" spans="1:26" ht="15.75" customHeight="1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</row>
    <row r="669" spans="1:26" ht="15.75" customHeight="1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</row>
    <row r="670" spans="1:26" ht="15.75" customHeight="1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</row>
    <row r="671" spans="1:26" ht="15.75" customHeight="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</row>
    <row r="672" spans="1:26" ht="15.75" customHeight="1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</row>
    <row r="673" spans="1:26" ht="15.75" customHeight="1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</row>
    <row r="674" spans="1:26" ht="15.75" customHeight="1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</row>
    <row r="675" spans="1:26" ht="15.75" customHeight="1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</row>
    <row r="676" spans="1:26" ht="15.75" customHeight="1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</row>
    <row r="677" spans="1:26" ht="15.75" customHeight="1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</row>
    <row r="678" spans="1:26" ht="15.75" customHeight="1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</row>
    <row r="679" spans="1:26" ht="15.75" customHeight="1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</row>
    <row r="680" spans="1:26" ht="15.75" customHeight="1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</row>
    <row r="681" spans="1:26" ht="15.75" customHeight="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</row>
    <row r="682" spans="1:26" ht="15.75" customHeight="1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</row>
    <row r="683" spans="1:26" ht="15.75" customHeight="1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</row>
    <row r="684" spans="1:26" ht="15.75" customHeight="1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</row>
    <row r="685" spans="1:26" ht="15.75" customHeight="1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</row>
    <row r="686" spans="1:26" ht="15.75" customHeight="1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</row>
    <row r="687" spans="1:26" ht="15.75" customHeight="1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</row>
    <row r="688" spans="1:26" ht="15.75" customHeight="1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</row>
    <row r="689" spans="1:26" ht="15.75" customHeight="1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</row>
    <row r="690" spans="1:26" ht="15.75" customHeight="1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</row>
    <row r="691" spans="1:26" ht="15.75" customHeight="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</row>
    <row r="692" spans="1:26" ht="15.75" customHeight="1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</row>
    <row r="693" spans="1:26" ht="15.75" customHeight="1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</row>
    <row r="694" spans="1:26" ht="15.75" customHeight="1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</row>
    <row r="695" spans="1:26" ht="15.75" customHeight="1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</row>
    <row r="696" spans="1:26" ht="15.75" customHeight="1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</row>
    <row r="697" spans="1:26" ht="15.75" customHeight="1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</row>
    <row r="698" spans="1:26" ht="15.75" customHeight="1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</row>
    <row r="699" spans="1:26" ht="15.75" customHeight="1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</row>
    <row r="700" spans="1:26" ht="15.75" customHeight="1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</row>
    <row r="701" spans="1:26" ht="15.75" customHeight="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</row>
    <row r="702" spans="1:26" ht="15.75" customHeight="1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</row>
    <row r="703" spans="1:26" ht="15.75" customHeight="1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</row>
    <row r="704" spans="1:26" ht="15.75" customHeight="1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</row>
    <row r="705" spans="1:26" ht="15.75" customHeight="1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</row>
    <row r="706" spans="1:26" ht="15.75" customHeight="1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</row>
    <row r="707" spans="1:26" ht="15.75" customHeight="1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</row>
    <row r="708" spans="1:26" ht="15.75" customHeight="1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</row>
    <row r="709" spans="1:26" ht="15.75" customHeight="1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</row>
    <row r="710" spans="1:26" ht="15.75" customHeight="1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</row>
    <row r="711" spans="1:26" ht="15.75" customHeight="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</row>
    <row r="712" spans="1:26" ht="15.75" customHeight="1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</row>
    <row r="713" spans="1:26" ht="15.75" customHeight="1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</row>
    <row r="714" spans="1:26" ht="15.75" customHeight="1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</row>
    <row r="715" spans="1:26" ht="15.75" customHeight="1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</row>
    <row r="716" spans="1:26" ht="15.75" customHeight="1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</row>
    <row r="717" spans="1:26" ht="15.75" customHeight="1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</row>
    <row r="718" spans="1:26" ht="15.75" customHeight="1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</row>
    <row r="719" spans="1:26" ht="15.75" customHeight="1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</row>
    <row r="720" spans="1:26" ht="15.75" customHeight="1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</row>
    <row r="721" spans="1:26" ht="15.75" customHeight="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</row>
    <row r="722" spans="1:26" ht="15.75" customHeight="1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</row>
    <row r="723" spans="1:26" ht="15.75" customHeight="1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</row>
    <row r="724" spans="1:26" ht="15.75" customHeight="1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</row>
    <row r="725" spans="1:26" ht="15.75" customHeight="1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</row>
    <row r="726" spans="1:26" ht="15.75" customHeight="1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</row>
    <row r="727" spans="1:26" ht="15.75" customHeight="1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</row>
    <row r="728" spans="1:26" ht="15.75" customHeight="1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</row>
    <row r="729" spans="1:26" ht="15.75" customHeight="1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</row>
    <row r="730" spans="1:26" ht="15.75" customHeight="1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</row>
    <row r="731" spans="1:26" ht="15.75" customHeight="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</row>
    <row r="732" spans="1:26" ht="15.75" customHeight="1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</row>
    <row r="733" spans="1:26" ht="15.75" customHeight="1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</row>
    <row r="734" spans="1:26" ht="15.75" customHeight="1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</row>
    <row r="735" spans="1:26" ht="15.75" customHeight="1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</row>
    <row r="736" spans="1:26" ht="15.75" customHeight="1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</row>
    <row r="737" spans="1:26" ht="15.75" customHeight="1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</row>
    <row r="738" spans="1:26" ht="15.75" customHeight="1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</row>
    <row r="739" spans="1:26" ht="15.75" customHeight="1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</row>
    <row r="740" spans="1:26" ht="15.75" customHeight="1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</row>
    <row r="741" spans="1:26" ht="15.75" customHeight="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</row>
    <row r="742" spans="1:26" ht="15.75" customHeight="1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</row>
    <row r="743" spans="1:26" ht="15.75" customHeight="1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</row>
    <row r="744" spans="1:26" ht="15.75" customHeight="1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</row>
    <row r="745" spans="1:26" ht="15.75" customHeight="1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</row>
    <row r="746" spans="1:26" ht="15.75" customHeight="1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</row>
    <row r="747" spans="1:26" ht="15.75" customHeight="1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</row>
    <row r="748" spans="1:26" ht="15.75" customHeight="1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</row>
    <row r="749" spans="1:26" ht="15.75" customHeight="1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</row>
    <row r="750" spans="1:26" ht="15.75" customHeight="1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</row>
    <row r="751" spans="1:26" ht="15.75" customHeight="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</row>
    <row r="752" spans="1:26" ht="15.75" customHeight="1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</row>
    <row r="753" spans="1:26" ht="15.75" customHeight="1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</row>
    <row r="754" spans="1:26" ht="15.75" customHeight="1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</row>
    <row r="755" spans="1:26" ht="15.75" customHeight="1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</row>
    <row r="756" spans="1:26" ht="15.75" customHeight="1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</row>
    <row r="757" spans="1:26" ht="15.75" customHeight="1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</row>
    <row r="758" spans="1:26" ht="15.75" customHeight="1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</row>
    <row r="759" spans="1:26" ht="15.75" customHeight="1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</row>
    <row r="760" spans="1:26" ht="15.75" customHeight="1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</row>
    <row r="761" spans="1:26" ht="15.75" customHeight="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</row>
    <row r="762" spans="1:26" ht="15.75" customHeight="1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</row>
    <row r="763" spans="1:26" ht="15.75" customHeight="1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</row>
    <row r="764" spans="1:26" ht="15.75" customHeight="1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</row>
    <row r="765" spans="1:26" ht="15.75" customHeight="1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</row>
    <row r="766" spans="1:26" ht="15.75" customHeight="1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</row>
    <row r="767" spans="1:26" ht="15.75" customHeight="1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</row>
    <row r="768" spans="1:26" ht="15.75" customHeight="1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</row>
    <row r="769" spans="1:26" ht="15.75" customHeight="1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</row>
    <row r="770" spans="1:26" ht="15.75" customHeight="1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</row>
    <row r="771" spans="1:26" ht="15.75" customHeight="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</row>
    <row r="772" spans="1:26" ht="15.75" customHeight="1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</row>
    <row r="773" spans="1:26" ht="15.75" customHeight="1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</row>
    <row r="774" spans="1:26" ht="15.75" customHeight="1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</row>
    <row r="775" spans="1:26" ht="15.75" customHeight="1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</row>
    <row r="776" spans="1:26" ht="15.75" customHeight="1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</row>
    <row r="777" spans="1:26" ht="15.75" customHeight="1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</row>
    <row r="778" spans="1:26" ht="15.75" customHeight="1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</row>
    <row r="779" spans="1:26" ht="15.75" customHeight="1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</row>
    <row r="780" spans="1:26" ht="15.75" customHeight="1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</row>
    <row r="781" spans="1:26" ht="15.75" customHeight="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</row>
    <row r="782" spans="1:26" ht="15.75" customHeight="1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</row>
    <row r="783" spans="1:26" ht="15.75" customHeight="1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</row>
    <row r="784" spans="1:26" ht="15.75" customHeight="1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</row>
    <row r="785" spans="1:26" ht="15.75" customHeight="1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</row>
    <row r="786" spans="1:26" ht="15.75" customHeight="1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</row>
    <row r="787" spans="1:26" ht="15.75" customHeight="1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</row>
    <row r="788" spans="1:26" ht="15.75" customHeight="1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</row>
    <row r="789" spans="1:26" ht="15.75" customHeight="1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</row>
    <row r="790" spans="1:26" ht="15.75" customHeight="1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</row>
    <row r="791" spans="1:26" ht="15.75" customHeight="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</row>
    <row r="792" spans="1:26" ht="15.75" customHeight="1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</row>
    <row r="793" spans="1:26" ht="15.75" customHeight="1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</row>
    <row r="794" spans="1:26" ht="15.75" customHeight="1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</row>
    <row r="795" spans="1:26" ht="15.75" customHeight="1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</row>
    <row r="796" spans="1:26" ht="15.75" customHeight="1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</row>
    <row r="797" spans="1:26" ht="15.75" customHeight="1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</row>
    <row r="798" spans="1:26" ht="15.75" customHeight="1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</row>
    <row r="799" spans="1:26" ht="15.75" customHeight="1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</row>
    <row r="800" spans="1:26" ht="15.75" customHeight="1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</row>
    <row r="801" spans="1:26" ht="15.75" customHeight="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</row>
    <row r="802" spans="1:26" ht="15.75" customHeight="1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</row>
    <row r="803" spans="1:26" ht="15.75" customHeight="1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</row>
    <row r="804" spans="1:26" ht="15.75" customHeight="1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</row>
    <row r="805" spans="1:26" ht="15.75" customHeight="1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</row>
    <row r="806" spans="1:26" ht="15.75" customHeight="1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</row>
    <row r="807" spans="1:26" ht="15.75" customHeight="1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</row>
    <row r="808" spans="1:26" ht="15.75" customHeight="1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</row>
    <row r="809" spans="1:26" ht="15.75" customHeight="1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</row>
    <row r="810" spans="1:26" ht="15.75" customHeight="1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</row>
    <row r="811" spans="1:26" ht="15.75" customHeight="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</row>
    <row r="812" spans="1:26" ht="15.75" customHeight="1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</row>
    <row r="813" spans="1:26" ht="15.75" customHeight="1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</row>
    <row r="814" spans="1:26" ht="15.75" customHeight="1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</row>
    <row r="815" spans="1:26" ht="15.75" customHeight="1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</row>
    <row r="816" spans="1:26" ht="15.75" customHeight="1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</row>
    <row r="817" spans="1:26" ht="15.75" customHeight="1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</row>
    <row r="818" spans="1:26" ht="15.75" customHeight="1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</row>
    <row r="819" spans="1:26" ht="15.75" customHeight="1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</row>
    <row r="820" spans="1:26" ht="15.75" customHeight="1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</row>
    <row r="821" spans="1:26" ht="15.75" customHeight="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</row>
    <row r="822" spans="1:26" ht="15.75" customHeight="1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</row>
    <row r="823" spans="1:26" ht="15.75" customHeight="1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</row>
    <row r="824" spans="1:26" ht="15.75" customHeight="1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</row>
    <row r="825" spans="1:26" ht="15.75" customHeight="1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</row>
    <row r="826" spans="1:26" ht="15.75" customHeight="1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</row>
    <row r="827" spans="1:26" ht="15.75" customHeight="1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</row>
    <row r="828" spans="1:26" ht="15.75" customHeight="1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</row>
    <row r="829" spans="1:26" ht="15.75" customHeight="1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</row>
    <row r="830" spans="1:26" ht="15.75" customHeight="1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</row>
    <row r="831" spans="1:26" ht="15.75" customHeight="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</row>
    <row r="832" spans="1:26" ht="15.75" customHeight="1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</row>
    <row r="833" spans="1:26" ht="15.75" customHeight="1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</row>
    <row r="834" spans="1:26" ht="15.75" customHeight="1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</row>
    <row r="835" spans="1:26" ht="15.75" customHeight="1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</row>
    <row r="836" spans="1:26" ht="15.75" customHeight="1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</row>
    <row r="837" spans="1:26" ht="15.75" customHeight="1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</row>
    <row r="838" spans="1:26" ht="15.75" customHeight="1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</row>
    <row r="839" spans="1:26" ht="15.75" customHeight="1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</row>
    <row r="840" spans="1:26" ht="15.75" customHeight="1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</row>
    <row r="841" spans="1:26" ht="15.75" customHeight="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</row>
    <row r="842" spans="1:26" ht="15.75" customHeight="1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</row>
    <row r="843" spans="1:26" ht="15.75" customHeight="1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</row>
    <row r="844" spans="1:26" ht="15.75" customHeight="1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</row>
    <row r="845" spans="1:26" ht="15.75" customHeight="1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</row>
    <row r="846" spans="1:26" ht="15.75" customHeight="1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</row>
    <row r="847" spans="1:26" ht="15.75" customHeight="1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</row>
    <row r="848" spans="1:26" ht="15.75" customHeight="1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</row>
    <row r="849" spans="1:26" ht="15.75" customHeight="1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</row>
    <row r="850" spans="1:26" ht="15.75" customHeight="1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</row>
    <row r="851" spans="1:26" ht="15.75" customHeight="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</row>
    <row r="852" spans="1:26" ht="15.75" customHeight="1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</row>
    <row r="853" spans="1:26" ht="15.75" customHeight="1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</row>
    <row r="854" spans="1:26" ht="15.75" customHeight="1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</row>
    <row r="855" spans="1:26" ht="15.75" customHeight="1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</row>
    <row r="856" spans="1:26" ht="15.75" customHeight="1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</row>
    <row r="857" spans="1:26" ht="15.75" customHeight="1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</row>
    <row r="858" spans="1:26" ht="15.75" customHeight="1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</row>
    <row r="859" spans="1:26" ht="15.75" customHeight="1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</row>
    <row r="860" spans="1:26" ht="15.75" customHeight="1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</row>
    <row r="861" spans="1:26" ht="15.75" customHeight="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</row>
    <row r="862" spans="1:26" ht="15.75" customHeight="1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</row>
    <row r="863" spans="1:26" ht="15.75" customHeight="1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</row>
    <row r="864" spans="1:26" ht="15.75" customHeight="1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</row>
    <row r="865" spans="1:26" ht="15.75" customHeight="1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</row>
    <row r="866" spans="1:26" ht="15.75" customHeight="1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</row>
    <row r="867" spans="1:26" ht="15.75" customHeight="1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</row>
    <row r="868" spans="1:26" ht="15.75" customHeight="1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</row>
    <row r="869" spans="1:26" ht="15.75" customHeight="1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</row>
    <row r="870" spans="1:26" ht="15.75" customHeight="1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</row>
    <row r="871" spans="1:26" ht="15.75" customHeight="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</row>
    <row r="872" spans="1:26" ht="15.75" customHeight="1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</row>
    <row r="873" spans="1:26" ht="15.75" customHeight="1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</row>
    <row r="874" spans="1:26" ht="15.75" customHeight="1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</row>
    <row r="875" spans="1:26" ht="15.75" customHeight="1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</row>
    <row r="876" spans="1:26" ht="15.75" customHeight="1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</row>
    <row r="877" spans="1:26" ht="15.75" customHeight="1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</row>
    <row r="878" spans="1:26" ht="15.75" customHeight="1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</row>
    <row r="879" spans="1:26" ht="15.75" customHeight="1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</row>
    <row r="880" spans="1:26" ht="15.75" customHeight="1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</row>
    <row r="881" spans="1:26" ht="15.75" customHeight="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</row>
    <row r="882" spans="1:26" ht="15.75" customHeight="1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</row>
    <row r="883" spans="1:26" ht="15.75" customHeight="1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</row>
    <row r="884" spans="1:26" ht="15.75" customHeight="1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</row>
    <row r="885" spans="1:26" ht="15.75" customHeight="1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</row>
    <row r="886" spans="1:26" ht="15.75" customHeight="1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</row>
    <row r="887" spans="1:26" ht="15.75" customHeight="1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</row>
    <row r="888" spans="1:26" ht="15.75" customHeight="1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</row>
    <row r="889" spans="1:26" ht="15.75" customHeight="1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</row>
    <row r="890" spans="1:26" ht="15.75" customHeight="1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</row>
    <row r="891" spans="1:26" ht="15.75" customHeight="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</row>
    <row r="892" spans="1:26" ht="15.75" customHeight="1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</row>
    <row r="893" spans="1:26" ht="15.75" customHeight="1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</row>
    <row r="894" spans="1:26" ht="15.75" customHeight="1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</row>
    <row r="895" spans="1:26" ht="15.75" customHeight="1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</row>
    <row r="896" spans="1:26" ht="15.75" customHeight="1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</row>
    <row r="897" spans="1:26" ht="15.75" customHeight="1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</row>
    <row r="898" spans="1:26" ht="15.75" customHeight="1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</row>
    <row r="899" spans="1:26" ht="15.75" customHeight="1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</row>
    <row r="900" spans="1:26" ht="15.75" customHeight="1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</row>
    <row r="901" spans="1:26" ht="15.75" customHeight="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</row>
    <row r="902" spans="1:26" ht="15.75" customHeight="1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</row>
    <row r="903" spans="1:26" ht="15.75" customHeight="1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</row>
    <row r="904" spans="1:26" ht="15.75" customHeight="1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</row>
    <row r="905" spans="1:26" ht="15.75" customHeight="1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</row>
    <row r="906" spans="1:26" ht="15.75" customHeight="1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</row>
    <row r="907" spans="1:26" ht="15.75" customHeight="1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</row>
    <row r="908" spans="1:26" ht="15.75" customHeight="1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</row>
    <row r="909" spans="1:26" ht="15.75" customHeight="1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</row>
    <row r="910" spans="1:26" ht="15.75" customHeight="1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</row>
    <row r="911" spans="1:26" ht="15.75" customHeight="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</row>
    <row r="912" spans="1:26" ht="15.75" customHeight="1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</row>
    <row r="913" spans="1:26" ht="15.75" customHeight="1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</row>
    <row r="914" spans="1:26" ht="15.75" customHeight="1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</row>
    <row r="915" spans="1:26" ht="15.75" customHeight="1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</row>
    <row r="916" spans="1:26" ht="15.75" customHeight="1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</row>
    <row r="917" spans="1:26" ht="15.75" customHeight="1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</row>
    <row r="918" spans="1:26" ht="15.75" customHeight="1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</row>
    <row r="919" spans="1:26" ht="15.75" customHeight="1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</row>
    <row r="920" spans="1:26" ht="15.75" customHeight="1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</row>
    <row r="921" spans="1:26" ht="15.75" customHeight="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</row>
    <row r="922" spans="1:26" ht="15.75" customHeight="1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</row>
    <row r="923" spans="1:26" ht="15.75" customHeight="1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</row>
    <row r="924" spans="1:26" ht="15.75" customHeight="1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</row>
    <row r="925" spans="1:26" ht="15.75" customHeight="1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</row>
    <row r="926" spans="1:26" ht="15.75" customHeight="1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</row>
    <row r="927" spans="1:26" ht="15.75" customHeight="1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</row>
    <row r="928" spans="1:26" ht="15.75" customHeight="1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</row>
    <row r="929" spans="1:26" ht="15.75" customHeight="1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</row>
    <row r="930" spans="1:26" ht="15.75" customHeight="1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</row>
    <row r="931" spans="1:26" ht="15.75" customHeight="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</row>
    <row r="932" spans="1:26" ht="15.75" customHeight="1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</row>
    <row r="933" spans="1:26" ht="15.75" customHeight="1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</row>
    <row r="934" spans="1:26" ht="15.75" customHeight="1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</row>
    <row r="935" spans="1:26" ht="15.75" customHeight="1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</row>
    <row r="936" spans="1:26" ht="15.75" customHeight="1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</row>
    <row r="937" spans="1:26" ht="15.75" customHeight="1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</row>
    <row r="938" spans="1:26" ht="15.75" customHeight="1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</row>
    <row r="939" spans="1:26" ht="15.75" customHeight="1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</row>
    <row r="940" spans="1:26" ht="15.75" customHeight="1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</row>
    <row r="941" spans="1:26" ht="15.75" customHeight="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</row>
    <row r="942" spans="1:26" ht="15.75" customHeight="1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</row>
    <row r="943" spans="1:26" ht="15.75" customHeight="1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</row>
    <row r="944" spans="1:26" ht="15.75" customHeight="1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</row>
    <row r="945" spans="1:26" ht="15.75" customHeight="1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</row>
    <row r="946" spans="1:26" ht="15.75" customHeight="1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</row>
    <row r="947" spans="1:26" ht="15.75" customHeight="1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</row>
    <row r="948" spans="1:26" ht="15.75" customHeight="1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</row>
    <row r="949" spans="1:26" ht="15.75" customHeight="1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</row>
    <row r="950" spans="1:26" ht="15.75" customHeight="1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</row>
    <row r="951" spans="1:26" ht="15.75" customHeight="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</row>
    <row r="952" spans="1:26" ht="15.75" customHeight="1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</row>
    <row r="953" spans="1:26" ht="15.75" customHeight="1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</row>
    <row r="954" spans="1:26" ht="15.75" customHeight="1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</row>
    <row r="955" spans="1:26" ht="15.75" customHeight="1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</row>
    <row r="956" spans="1:26" ht="15.75" customHeight="1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</row>
    <row r="957" spans="1:26" ht="15.75" customHeight="1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</row>
    <row r="958" spans="1:26" ht="15.75" customHeight="1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</row>
    <row r="959" spans="1:26" ht="15.75" customHeight="1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</row>
    <row r="960" spans="1:26" ht="15.75" customHeight="1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</row>
    <row r="961" spans="1:26" ht="15.75" customHeight="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</row>
    <row r="962" spans="1:26" ht="15.75" customHeight="1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</row>
    <row r="963" spans="1:26" ht="15.75" customHeight="1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</row>
    <row r="964" spans="1:26" ht="15.75" customHeight="1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</row>
    <row r="965" spans="1:26" ht="15.75" customHeight="1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</row>
    <row r="966" spans="1:26" ht="15.75" customHeight="1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</row>
    <row r="967" spans="1:26" ht="15.75" customHeight="1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</row>
    <row r="968" spans="1:26" ht="15.75" customHeight="1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</row>
    <row r="969" spans="1:26" ht="15.75" customHeight="1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</row>
    <row r="970" spans="1:26" ht="15.75" customHeight="1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</row>
    <row r="971" spans="1:26" ht="15.75" customHeight="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</row>
    <row r="972" spans="1:26" ht="15.75" customHeight="1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</row>
    <row r="973" spans="1:26" ht="15.75" customHeight="1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</row>
    <row r="974" spans="1:26" ht="15.75" customHeight="1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</row>
    <row r="975" spans="1:26" ht="15.75" customHeight="1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</row>
    <row r="976" spans="1:26" ht="15.75" customHeight="1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</row>
    <row r="977" spans="1:26" ht="15.75" customHeight="1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</row>
    <row r="978" spans="1:26" ht="15.75" customHeight="1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</row>
    <row r="979" spans="1:26" ht="15.75" customHeight="1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</row>
    <row r="980" spans="1:26" ht="15.75" customHeight="1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</row>
    <row r="981" spans="1:26" ht="15.75" customHeight="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</row>
    <row r="982" spans="1:26" ht="15.75" customHeight="1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</row>
    <row r="983" spans="1:26" ht="15.75" customHeight="1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</row>
    <row r="984" spans="1:26" ht="15.75" customHeight="1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</row>
    <row r="985" spans="1:26" ht="15.75" customHeight="1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</row>
    <row r="986" spans="1:26" ht="15.75" customHeight="1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</row>
    <row r="987" spans="1:26" ht="15.75" customHeight="1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</row>
    <row r="988" spans="1:26" ht="15.75" customHeight="1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</row>
    <row r="989" spans="1:26" ht="15.75" customHeight="1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</row>
    <row r="990" spans="1:26" ht="15.75" customHeight="1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</row>
    <row r="991" spans="1:26" ht="15.75" customHeight="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</row>
    <row r="992" spans="1:26" ht="15.75" customHeight="1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</row>
    <row r="993" spans="1:26" ht="15.75" customHeight="1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</row>
    <row r="994" spans="1:26" ht="15.75" customHeight="1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</row>
    <row r="995" spans="1:26" ht="15.75" customHeight="1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</row>
    <row r="996" spans="1:26" ht="15.75" customHeight="1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</row>
    <row r="997" spans="1:26" ht="15.75" customHeight="1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</row>
    <row r="998" spans="1:26" ht="15.75" customHeight="1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</row>
    <row r="999" spans="1:26" ht="15.75" customHeight="1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</row>
    <row r="1000" spans="1:26" ht="15.75" customHeight="1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</row>
  </sheetData>
  <mergeCells count="7">
    <mergeCell ref="G22:H22"/>
    <mergeCell ref="G23:H23"/>
    <mergeCell ref="B5:E5"/>
    <mergeCell ref="G5:J5"/>
    <mergeCell ref="G13:J13"/>
    <mergeCell ref="G20:H20"/>
    <mergeCell ref="G21:H21"/>
  </mergeCells>
  <pageMargins left="0.7" right="0.7" top="0.75" bottom="0.75" header="0" footer="0"/>
  <pageSetup scale="7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A037-90D8-4D68-B67E-9A70CEECFD19}">
  <dimension ref="A1:G36"/>
  <sheetViews>
    <sheetView topLeftCell="B1" zoomScale="84" workbookViewId="0">
      <selection activeCell="F18" sqref="F18"/>
    </sheetView>
  </sheetViews>
  <sheetFormatPr defaultColWidth="46.88671875" defaultRowHeight="14.4"/>
  <cols>
    <col min="1" max="1" width="39.77734375" bestFit="1" customWidth="1"/>
    <col min="2" max="2" width="17.88671875" bestFit="1" customWidth="1"/>
    <col min="3" max="3" width="9.77734375" bestFit="1" customWidth="1"/>
    <col min="4" max="4" width="9.21875" bestFit="1" customWidth="1"/>
    <col min="6" max="6" width="46.77734375" bestFit="1" customWidth="1"/>
    <col min="8" max="8" width="29.77734375" bestFit="1" customWidth="1"/>
  </cols>
  <sheetData>
    <row r="1" spans="1:7">
      <c r="A1" s="453" t="s">
        <v>229</v>
      </c>
      <c r="B1" s="453"/>
      <c r="C1" s="453"/>
      <c r="D1" s="453"/>
    </row>
    <row r="2" spans="1:7">
      <c r="F2" s="448" t="s">
        <v>155</v>
      </c>
      <c r="G2" s="449"/>
    </row>
    <row r="3" spans="1:7">
      <c r="A3" s="450" t="s">
        <v>186</v>
      </c>
      <c r="B3" s="451"/>
      <c r="C3" s="451"/>
      <c r="D3" s="452"/>
      <c r="F3" s="418" t="s">
        <v>230</v>
      </c>
      <c r="G3" s="405">
        <v>31.8</v>
      </c>
    </row>
    <row r="4" spans="1:7">
      <c r="A4" s="377" t="s">
        <v>222</v>
      </c>
      <c r="B4" s="378"/>
      <c r="C4" s="378"/>
      <c r="D4" s="379">
        <v>4.3999999999999997E-2</v>
      </c>
      <c r="F4" s="412" t="s">
        <v>158</v>
      </c>
      <c r="G4" s="406">
        <v>0.02</v>
      </c>
    </row>
    <row r="5" spans="1:7">
      <c r="A5" s="380" t="s">
        <v>191</v>
      </c>
      <c r="B5" s="381"/>
      <c r="C5" s="381"/>
      <c r="D5" s="382">
        <v>8</v>
      </c>
      <c r="F5" s="420" t="s">
        <v>159</v>
      </c>
      <c r="G5" s="407">
        <v>386.8</v>
      </c>
    </row>
    <row r="6" spans="1:7" ht="17.399999999999999">
      <c r="A6" s="383" t="s">
        <v>221</v>
      </c>
      <c r="B6" s="384"/>
      <c r="C6" s="384"/>
      <c r="D6" s="385">
        <v>0.26</v>
      </c>
      <c r="E6" s="193" t="s">
        <v>224</v>
      </c>
      <c r="F6" s="417" t="s">
        <v>160</v>
      </c>
      <c r="G6" s="405">
        <v>0.74</v>
      </c>
    </row>
    <row r="7" spans="1:7">
      <c r="A7" s="386" t="s">
        <v>193</v>
      </c>
      <c r="B7" s="387"/>
      <c r="C7" s="387"/>
      <c r="D7" s="388">
        <v>0.1008</v>
      </c>
      <c r="F7" s="419" t="s">
        <v>162</v>
      </c>
      <c r="G7" s="408">
        <v>287.60000000000002</v>
      </c>
    </row>
    <row r="8" spans="1:7">
      <c r="A8" s="389"/>
      <c r="B8" s="389"/>
      <c r="C8" s="389"/>
      <c r="D8" s="389"/>
      <c r="F8" s="412" t="s">
        <v>164</v>
      </c>
      <c r="G8" s="409">
        <v>45.8</v>
      </c>
    </row>
    <row r="9" spans="1:7">
      <c r="A9" s="374" t="s">
        <v>195</v>
      </c>
      <c r="B9" s="375"/>
      <c r="C9" s="375"/>
      <c r="D9" s="376"/>
      <c r="F9" s="420" t="s">
        <v>165</v>
      </c>
      <c r="G9" s="407">
        <v>333.4</v>
      </c>
    </row>
    <row r="10" spans="1:7" ht="17.399999999999999">
      <c r="A10" s="390" t="s">
        <v>187</v>
      </c>
      <c r="B10" s="391"/>
      <c r="C10" s="391"/>
      <c r="D10" s="379">
        <v>4.3999999999999997E-2</v>
      </c>
      <c r="E10" s="193"/>
      <c r="F10" s="410" t="s">
        <v>166</v>
      </c>
      <c r="G10" s="411">
        <v>17.2</v>
      </c>
    </row>
    <row r="11" spans="1:7" ht="17.399999999999999">
      <c r="A11" s="392" t="s">
        <v>188</v>
      </c>
      <c r="B11" s="393"/>
      <c r="C11" s="393"/>
      <c r="D11" s="385">
        <v>0.06</v>
      </c>
      <c r="E11" s="193"/>
      <c r="F11" s="412" t="s">
        <v>167</v>
      </c>
      <c r="G11" s="413">
        <v>10</v>
      </c>
    </row>
    <row r="12" spans="1:7" ht="17.399999999999999">
      <c r="A12" s="392" t="s">
        <v>189</v>
      </c>
      <c r="B12" s="393"/>
      <c r="C12" s="393"/>
      <c r="D12" s="394">
        <v>1</v>
      </c>
      <c r="E12" s="193"/>
      <c r="F12" s="420" t="s">
        <v>168</v>
      </c>
      <c r="G12" s="407">
        <v>326.2</v>
      </c>
    </row>
    <row r="13" spans="1:7" ht="17.399999999999999">
      <c r="A13" s="395" t="s">
        <v>197</v>
      </c>
      <c r="B13" s="396"/>
      <c r="C13" s="396"/>
      <c r="D13" s="388">
        <v>0.104</v>
      </c>
      <c r="E13" s="193"/>
      <c r="F13" s="421" t="s">
        <v>170</v>
      </c>
      <c r="G13" s="414">
        <v>251.6</v>
      </c>
    </row>
    <row r="14" spans="1:7">
      <c r="A14" s="389"/>
      <c r="B14" s="389"/>
      <c r="C14" s="389"/>
      <c r="D14" s="389"/>
      <c r="F14" s="420" t="s">
        <v>171</v>
      </c>
      <c r="G14" s="407" t="s">
        <v>231</v>
      </c>
    </row>
    <row r="15" spans="1:7" ht="17.399999999999999">
      <c r="A15" s="397" t="s">
        <v>229</v>
      </c>
      <c r="B15" s="398" t="s">
        <v>199</v>
      </c>
      <c r="C15" s="398" t="s">
        <v>200</v>
      </c>
      <c r="D15" s="399" t="s">
        <v>201</v>
      </c>
      <c r="E15" s="370"/>
      <c r="F15" s="415" t="s">
        <v>228</v>
      </c>
      <c r="G15" s="416">
        <v>0.47320000000000001</v>
      </c>
    </row>
    <row r="16" spans="1:7" ht="17.399999999999999">
      <c r="A16" s="400" t="s">
        <v>194</v>
      </c>
      <c r="B16" s="401">
        <v>17200000</v>
      </c>
      <c r="C16" s="402">
        <v>7.2084758264601353E-2</v>
      </c>
      <c r="D16" s="385">
        <v>0.1008</v>
      </c>
      <c r="E16" s="370"/>
    </row>
    <row r="17" spans="1:5" ht="17.399999999999999">
      <c r="A17" s="400" t="s">
        <v>202</v>
      </c>
      <c r="B17" s="401">
        <v>221408000</v>
      </c>
      <c r="C17" s="402">
        <v>0.92791524173539863</v>
      </c>
      <c r="D17" s="385">
        <v>0.104</v>
      </c>
      <c r="E17" s="371"/>
    </row>
    <row r="18" spans="1:5" ht="17.399999999999999">
      <c r="A18" s="387" t="s">
        <v>203</v>
      </c>
      <c r="B18" s="403">
        <v>238608000</v>
      </c>
      <c r="C18" s="404">
        <v>1</v>
      </c>
      <c r="D18" s="388">
        <v>0.10376932877355327</v>
      </c>
      <c r="E18" s="370"/>
    </row>
    <row r="19" spans="1:5" ht="17.399999999999999">
      <c r="C19" s="370"/>
      <c r="D19" s="370"/>
      <c r="E19" s="370"/>
    </row>
    <row r="20" spans="1:5" ht="17.399999999999999">
      <c r="C20" s="372"/>
      <c r="D20" s="372"/>
      <c r="E20" s="372"/>
    </row>
    <row r="21" spans="1:5">
      <c r="C21" s="373"/>
      <c r="D21" s="373"/>
      <c r="E21" s="373"/>
    </row>
    <row r="23" spans="1:5" ht="15.6" customHeight="1"/>
    <row r="25" spans="1:5" ht="15" customHeight="1"/>
    <row r="26" spans="1:5" ht="15" customHeight="1"/>
    <row r="27" spans="1:5" ht="15.6" customHeight="1"/>
    <row r="29" spans="1:5" ht="15" customHeight="1"/>
    <row r="31" spans="1:5" ht="15.6" customHeight="1"/>
    <row r="34" ht="15.6" customHeight="1"/>
    <row r="36" ht="15.6" customHeight="1"/>
  </sheetData>
  <mergeCells count="3">
    <mergeCell ref="F2:G2"/>
    <mergeCell ref="A3:D3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D9AFA59A90734CB9362EC3A5CEFA35" ma:contentTypeVersion="9" ma:contentTypeDescription="Create a new document." ma:contentTypeScope="" ma:versionID="65bab425c1ed860c561bb0822f7e25b3">
  <xsd:schema xmlns:xsd="http://www.w3.org/2001/XMLSchema" xmlns:xs="http://www.w3.org/2001/XMLSchema" xmlns:p="http://schemas.microsoft.com/office/2006/metadata/properties" xmlns:ns3="15e9b2b8-2b64-47cc-b955-1c94d2ffce5c" targetNamespace="http://schemas.microsoft.com/office/2006/metadata/properties" ma:root="true" ma:fieldsID="a1113d29d08697f957668278ae1d186e" ns3:_="">
    <xsd:import namespace="15e9b2b8-2b64-47cc-b955-1c94d2ffce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9b2b8-2b64-47cc-b955-1c94d2ffce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e9b2b8-2b64-47cc-b955-1c94d2ffce5c" xsi:nil="true"/>
  </documentManagement>
</p:properties>
</file>

<file path=customXml/itemProps1.xml><?xml version="1.0" encoding="utf-8"?>
<ds:datastoreItem xmlns:ds="http://schemas.openxmlformats.org/officeDocument/2006/customXml" ds:itemID="{10DE2F10-9FE8-4034-B390-09904316CC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57C4C-A0F8-4454-866E-942101A1F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9b2b8-2b64-47cc-b955-1c94d2ffc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B2874E-8BD7-4CAA-88D1-EC3DFE231EA2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15e9b2b8-2b64-47cc-b955-1c94d2ffce5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Metrics &amp; Drivers</vt:lpstr>
      <vt:lpstr>Additional Schedules</vt:lpstr>
      <vt:lpstr>Three Statement Model</vt:lpstr>
      <vt:lpstr>Sheet2</vt:lpstr>
      <vt:lpstr>DCF</vt:lpstr>
      <vt:lpstr>WACC</vt:lpstr>
      <vt:lpstr>Presentation Formatting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Lau</dc:creator>
  <cp:keywords/>
  <dc:description/>
  <cp:lastModifiedBy>michael kerins</cp:lastModifiedBy>
  <cp:revision/>
  <dcterms:created xsi:type="dcterms:W3CDTF">2022-11-22T21:03:59Z</dcterms:created>
  <dcterms:modified xsi:type="dcterms:W3CDTF">2026-02-18T08:20:23Z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0x01010022D9AFA59A90734CB9362EC3A5CEFA35</vt:lpwstr>
  </property>
</Properties>
</file>